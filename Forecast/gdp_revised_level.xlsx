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991cfe06dcabc/Desktop/BoC GC/"/>
    </mc:Choice>
  </mc:AlternateContent>
  <xr:revisionPtr revIDLastSave="1" documentId="8_{CEEF749C-EB79-4C75-90A2-ABD1C288B7C3}" xr6:coauthVersionLast="47" xr6:coauthVersionMax="47" xr10:uidLastSave="{55C44CE3-A849-4977-98A0-4DBBE31416D7}"/>
  <bookViews>
    <workbookView xWindow="-105" yWindow="-16320" windowWidth="29040" windowHeight="15720" xr2:uid="{CBF4834F-21B1-49DC-BCA1-1E78BB0EC460}"/>
  </bookViews>
  <sheets>
    <sheet name="component-wise-gd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N14" i="2" s="1"/>
  <c r="S14" i="2" s="1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N182" i="2" s="1"/>
  <c r="S182" i="2" s="1"/>
  <c r="I183" i="2"/>
  <c r="J183" i="2"/>
  <c r="K183" i="2"/>
  <c r="I184" i="2"/>
  <c r="J184" i="2"/>
  <c r="K184" i="2"/>
  <c r="I185" i="2"/>
  <c r="J185" i="2"/>
  <c r="K185" i="2"/>
  <c r="I186" i="2"/>
  <c r="J186" i="2"/>
  <c r="K186" i="2"/>
  <c r="I187" i="2"/>
  <c r="J187" i="2"/>
  <c r="K187" i="2"/>
  <c r="I188" i="2"/>
  <c r="J188" i="2"/>
  <c r="K188" i="2"/>
  <c r="I189" i="2"/>
  <c r="J189" i="2"/>
  <c r="K189" i="2"/>
  <c r="I190" i="2"/>
  <c r="J190" i="2"/>
  <c r="K190" i="2"/>
  <c r="I191" i="2"/>
  <c r="J191" i="2"/>
  <c r="K191" i="2"/>
  <c r="I192" i="2"/>
  <c r="J192" i="2"/>
  <c r="K192" i="2"/>
  <c r="I193" i="2"/>
  <c r="J193" i="2"/>
  <c r="K193" i="2"/>
  <c r="I194" i="2"/>
  <c r="J194" i="2"/>
  <c r="K194" i="2"/>
  <c r="I195" i="2"/>
  <c r="J195" i="2"/>
  <c r="K195" i="2"/>
  <c r="I196" i="2"/>
  <c r="J196" i="2"/>
  <c r="K196" i="2"/>
  <c r="I197" i="2"/>
  <c r="J197" i="2"/>
  <c r="K197" i="2"/>
  <c r="I198" i="2"/>
  <c r="J198" i="2"/>
  <c r="K198" i="2"/>
  <c r="I199" i="2"/>
  <c r="J199" i="2"/>
  <c r="K199" i="2"/>
  <c r="I200" i="2"/>
  <c r="J200" i="2"/>
  <c r="K200" i="2"/>
  <c r="I201" i="2"/>
  <c r="J201" i="2"/>
  <c r="K201" i="2"/>
  <c r="I202" i="2"/>
  <c r="J202" i="2"/>
  <c r="K202" i="2"/>
  <c r="I203" i="2"/>
  <c r="J203" i="2"/>
  <c r="K203" i="2"/>
  <c r="I204" i="2"/>
  <c r="J204" i="2"/>
  <c r="K204" i="2"/>
  <c r="I205" i="2"/>
  <c r="J205" i="2"/>
  <c r="K205" i="2"/>
  <c r="I206" i="2"/>
  <c r="J206" i="2"/>
  <c r="K206" i="2"/>
  <c r="I207" i="2"/>
  <c r="J207" i="2"/>
  <c r="K207" i="2"/>
  <c r="I208" i="2"/>
  <c r="J208" i="2"/>
  <c r="K208" i="2"/>
  <c r="I209" i="2"/>
  <c r="J209" i="2"/>
  <c r="K209" i="2"/>
  <c r="I210" i="2"/>
  <c r="J210" i="2"/>
  <c r="K210" i="2"/>
  <c r="I211" i="2"/>
  <c r="J211" i="2"/>
  <c r="K211" i="2"/>
  <c r="I212" i="2"/>
  <c r="J212" i="2"/>
  <c r="K212" i="2"/>
  <c r="I213" i="2"/>
  <c r="J213" i="2"/>
  <c r="K213" i="2"/>
  <c r="I214" i="2"/>
  <c r="J214" i="2"/>
  <c r="K214" i="2"/>
  <c r="I215" i="2"/>
  <c r="J215" i="2"/>
  <c r="K215" i="2"/>
  <c r="I216" i="2"/>
  <c r="J216" i="2"/>
  <c r="K216" i="2"/>
  <c r="I217" i="2"/>
  <c r="J217" i="2"/>
  <c r="K217" i="2"/>
  <c r="I218" i="2"/>
  <c r="J218" i="2"/>
  <c r="K218" i="2"/>
  <c r="I219" i="2"/>
  <c r="J219" i="2"/>
  <c r="K219" i="2"/>
  <c r="I220" i="2"/>
  <c r="J220" i="2"/>
  <c r="K220" i="2"/>
  <c r="I221" i="2"/>
  <c r="J221" i="2"/>
  <c r="K221" i="2"/>
  <c r="I222" i="2"/>
  <c r="J222" i="2"/>
  <c r="K222" i="2"/>
  <c r="I223" i="2"/>
  <c r="J223" i="2"/>
  <c r="K223" i="2"/>
  <c r="I224" i="2"/>
  <c r="J224" i="2"/>
  <c r="K224" i="2"/>
  <c r="I225" i="2"/>
  <c r="J225" i="2"/>
  <c r="K225" i="2"/>
  <c r="I226" i="2"/>
  <c r="J226" i="2"/>
  <c r="K226" i="2"/>
  <c r="I227" i="2"/>
  <c r="J227" i="2"/>
  <c r="K227" i="2"/>
  <c r="I228" i="2"/>
  <c r="J228" i="2"/>
  <c r="K228" i="2"/>
  <c r="I229" i="2"/>
  <c r="J229" i="2"/>
  <c r="K229" i="2"/>
  <c r="I230" i="2"/>
  <c r="J230" i="2"/>
  <c r="K230" i="2"/>
  <c r="I231" i="2"/>
  <c r="J231" i="2"/>
  <c r="K231" i="2"/>
  <c r="I232" i="2"/>
  <c r="J232" i="2"/>
  <c r="K232" i="2"/>
  <c r="I233" i="2"/>
  <c r="J233" i="2"/>
  <c r="K233" i="2"/>
  <c r="I234" i="2"/>
  <c r="J234" i="2"/>
  <c r="K234" i="2"/>
  <c r="I235" i="2"/>
  <c r="J235" i="2"/>
  <c r="K235" i="2"/>
  <c r="I236" i="2"/>
  <c r="J236" i="2"/>
  <c r="K236" i="2"/>
  <c r="I237" i="2"/>
  <c r="J237" i="2"/>
  <c r="K237" i="2"/>
  <c r="I238" i="2"/>
  <c r="J238" i="2"/>
  <c r="K238" i="2"/>
  <c r="I239" i="2"/>
  <c r="J239" i="2"/>
  <c r="K239" i="2"/>
  <c r="I240" i="2"/>
  <c r="J240" i="2"/>
  <c r="K240" i="2"/>
  <c r="I241" i="2"/>
  <c r="J241" i="2"/>
  <c r="K241" i="2"/>
  <c r="I242" i="2"/>
  <c r="J242" i="2"/>
  <c r="K242" i="2"/>
  <c r="I243" i="2"/>
  <c r="J243" i="2"/>
  <c r="K243" i="2"/>
  <c r="I244" i="2"/>
  <c r="J244" i="2"/>
  <c r="K244" i="2"/>
  <c r="I245" i="2"/>
  <c r="J245" i="2"/>
  <c r="K245" i="2"/>
  <c r="I246" i="2"/>
  <c r="J246" i="2"/>
  <c r="K246" i="2"/>
  <c r="I247" i="2"/>
  <c r="J247" i="2"/>
  <c r="K247" i="2"/>
  <c r="I248" i="2"/>
  <c r="J248" i="2"/>
  <c r="K248" i="2"/>
  <c r="I249" i="2"/>
  <c r="J249" i="2"/>
  <c r="K249" i="2"/>
  <c r="I250" i="2"/>
  <c r="J250" i="2"/>
  <c r="K250" i="2"/>
  <c r="I251" i="2"/>
  <c r="J251" i="2"/>
  <c r="K251" i="2"/>
  <c r="I252" i="2"/>
  <c r="J252" i="2"/>
  <c r="K252" i="2"/>
  <c r="I253" i="2"/>
  <c r="J253" i="2"/>
  <c r="K253" i="2"/>
  <c r="I254" i="2"/>
  <c r="J254" i="2"/>
  <c r="K254" i="2"/>
  <c r="I255" i="2"/>
  <c r="J255" i="2"/>
  <c r="K255" i="2"/>
  <c r="I256" i="2"/>
  <c r="J256" i="2"/>
  <c r="K256" i="2"/>
  <c r="I257" i="2"/>
  <c r="J257" i="2"/>
  <c r="K257" i="2"/>
  <c r="I258" i="2"/>
  <c r="J258" i="2"/>
  <c r="K258" i="2"/>
  <c r="I259" i="2"/>
  <c r="J259" i="2"/>
  <c r="K259" i="2"/>
  <c r="K2" i="2"/>
  <c r="I2" i="2"/>
  <c r="P3" i="2"/>
  <c r="P4" i="2"/>
  <c r="O4" i="2" s="1"/>
  <c r="P5" i="2"/>
  <c r="P6" i="2"/>
  <c r="P7" i="2"/>
  <c r="P8" i="2"/>
  <c r="P9" i="2"/>
  <c r="P10" i="2"/>
  <c r="O10" i="2" s="1"/>
  <c r="P11" i="2"/>
  <c r="O11" i="2" s="1"/>
  <c r="P12" i="2"/>
  <c r="O12" i="2" s="1"/>
  <c r="P13" i="2"/>
  <c r="P14" i="2"/>
  <c r="P15" i="2"/>
  <c r="P16" i="2"/>
  <c r="P17" i="2"/>
  <c r="P18" i="2"/>
  <c r="O18" i="2" s="1"/>
  <c r="P19" i="2"/>
  <c r="O19" i="2" s="1"/>
  <c r="P20" i="2"/>
  <c r="O20" i="2" s="1"/>
  <c r="P21" i="2"/>
  <c r="O21" i="2" s="1"/>
  <c r="P22" i="2"/>
  <c r="O22" i="2" s="1"/>
  <c r="P23" i="2"/>
  <c r="O23" i="2" s="1"/>
  <c r="P24" i="2"/>
  <c r="O24" i="2" s="1"/>
  <c r="P25" i="2"/>
  <c r="O25" i="2" s="1"/>
  <c r="P26" i="2"/>
  <c r="O26" i="2" s="1"/>
  <c r="P27" i="2"/>
  <c r="O27" i="2" s="1"/>
  <c r="P28" i="2"/>
  <c r="O28" i="2" s="1"/>
  <c r="P29" i="2"/>
  <c r="O29" i="2" s="1"/>
  <c r="P30" i="2"/>
  <c r="O30" i="2" s="1"/>
  <c r="P31" i="2"/>
  <c r="O31" i="2" s="1"/>
  <c r="P32" i="2"/>
  <c r="O32" i="2" s="1"/>
  <c r="P33" i="2"/>
  <c r="O33" i="2" s="1"/>
  <c r="P34" i="2"/>
  <c r="O34" i="2" s="1"/>
  <c r="P35" i="2"/>
  <c r="O35" i="2" s="1"/>
  <c r="P36" i="2"/>
  <c r="O36" i="2" s="1"/>
  <c r="P37" i="2"/>
  <c r="O37" i="2" s="1"/>
  <c r="P38" i="2"/>
  <c r="O38" i="2" s="1"/>
  <c r="P39" i="2"/>
  <c r="O39" i="2" s="1"/>
  <c r="P40" i="2"/>
  <c r="O40" i="2" s="1"/>
  <c r="P41" i="2"/>
  <c r="O41" i="2" s="1"/>
  <c r="P42" i="2"/>
  <c r="O42" i="2" s="1"/>
  <c r="P43" i="2"/>
  <c r="O43" i="2" s="1"/>
  <c r="P44" i="2"/>
  <c r="O44" i="2" s="1"/>
  <c r="P45" i="2"/>
  <c r="O45" i="2" s="1"/>
  <c r="P46" i="2"/>
  <c r="O46" i="2" s="1"/>
  <c r="P47" i="2"/>
  <c r="O47" i="2" s="1"/>
  <c r="P48" i="2"/>
  <c r="O48" i="2" s="1"/>
  <c r="P49" i="2"/>
  <c r="O49" i="2" s="1"/>
  <c r="P50" i="2"/>
  <c r="O50" i="2" s="1"/>
  <c r="P51" i="2"/>
  <c r="P52" i="2"/>
  <c r="O52" i="2" s="1"/>
  <c r="P53" i="2"/>
  <c r="P54" i="2"/>
  <c r="O54" i="2" s="1"/>
  <c r="P55" i="2"/>
  <c r="O55" i="2" s="1"/>
  <c r="P56" i="2"/>
  <c r="O56" i="2" s="1"/>
  <c r="P57" i="2"/>
  <c r="O57" i="2" s="1"/>
  <c r="P58" i="2"/>
  <c r="O58" i="2" s="1"/>
  <c r="P59" i="2"/>
  <c r="O59" i="2" s="1"/>
  <c r="P60" i="2"/>
  <c r="O60" i="2" s="1"/>
  <c r="P61" i="2"/>
  <c r="O61" i="2" s="1"/>
  <c r="P62" i="2"/>
  <c r="O62" i="2" s="1"/>
  <c r="P63" i="2"/>
  <c r="O63" i="2" s="1"/>
  <c r="P64" i="2"/>
  <c r="O64" i="2" s="1"/>
  <c r="P65" i="2"/>
  <c r="O65" i="2" s="1"/>
  <c r="P66" i="2"/>
  <c r="O66" i="2" s="1"/>
  <c r="P67" i="2"/>
  <c r="O67" i="2" s="1"/>
  <c r="P68" i="2"/>
  <c r="O68" i="2" s="1"/>
  <c r="P69" i="2"/>
  <c r="O69" i="2" s="1"/>
  <c r="P70" i="2"/>
  <c r="O70" i="2" s="1"/>
  <c r="P71" i="2"/>
  <c r="O71" i="2" s="1"/>
  <c r="P72" i="2"/>
  <c r="O72" i="2" s="1"/>
  <c r="P73" i="2"/>
  <c r="O73" i="2" s="1"/>
  <c r="P74" i="2"/>
  <c r="O74" i="2" s="1"/>
  <c r="P75" i="2"/>
  <c r="P76" i="2"/>
  <c r="P77" i="2"/>
  <c r="P78" i="2"/>
  <c r="O78" i="2" s="1"/>
  <c r="P79" i="2"/>
  <c r="O79" i="2" s="1"/>
  <c r="P80" i="2"/>
  <c r="O80" i="2" s="1"/>
  <c r="P81" i="2"/>
  <c r="O81" i="2" s="1"/>
  <c r="P82" i="2"/>
  <c r="O82" i="2" s="1"/>
  <c r="P83" i="2"/>
  <c r="O83" i="2" s="1"/>
  <c r="P84" i="2"/>
  <c r="O84" i="2" s="1"/>
  <c r="P85" i="2"/>
  <c r="O85" i="2" s="1"/>
  <c r="P86" i="2"/>
  <c r="O86" i="2" s="1"/>
  <c r="P87" i="2"/>
  <c r="O87" i="2" s="1"/>
  <c r="P88" i="2"/>
  <c r="O88" i="2" s="1"/>
  <c r="P89" i="2"/>
  <c r="O89" i="2" s="1"/>
  <c r="P90" i="2"/>
  <c r="O90" i="2" s="1"/>
  <c r="P91" i="2"/>
  <c r="O91" i="2" s="1"/>
  <c r="P92" i="2"/>
  <c r="O92" i="2" s="1"/>
  <c r="P93" i="2"/>
  <c r="O93" i="2" s="1"/>
  <c r="P94" i="2"/>
  <c r="O94" i="2" s="1"/>
  <c r="P95" i="2"/>
  <c r="O95" i="2" s="1"/>
  <c r="P96" i="2"/>
  <c r="O96" i="2" s="1"/>
  <c r="P97" i="2"/>
  <c r="O97" i="2" s="1"/>
  <c r="P98" i="2"/>
  <c r="O98" i="2" s="1"/>
  <c r="P99" i="2"/>
  <c r="P100" i="2"/>
  <c r="O100" i="2" s="1"/>
  <c r="P101" i="2"/>
  <c r="O101" i="2" s="1"/>
  <c r="P102" i="2"/>
  <c r="O102" i="2" s="1"/>
  <c r="P103" i="2"/>
  <c r="O103" i="2" s="1"/>
  <c r="P104" i="2"/>
  <c r="O104" i="2" s="1"/>
  <c r="P105" i="2"/>
  <c r="O105" i="2" s="1"/>
  <c r="P106" i="2"/>
  <c r="O106" i="2" s="1"/>
  <c r="P107" i="2"/>
  <c r="O107" i="2" s="1"/>
  <c r="P108" i="2"/>
  <c r="O108" i="2" s="1"/>
  <c r="P109" i="2"/>
  <c r="P110" i="2"/>
  <c r="O110" i="2" s="1"/>
  <c r="P111" i="2"/>
  <c r="O111" i="2" s="1"/>
  <c r="P112" i="2"/>
  <c r="O112" i="2" s="1"/>
  <c r="P113" i="2"/>
  <c r="O113" i="2" s="1"/>
  <c r="P114" i="2"/>
  <c r="O114" i="2" s="1"/>
  <c r="P115" i="2"/>
  <c r="O115" i="2" s="1"/>
  <c r="P116" i="2"/>
  <c r="O116" i="2" s="1"/>
  <c r="P117" i="2"/>
  <c r="O117" i="2" s="1"/>
  <c r="P118" i="2"/>
  <c r="O118" i="2" s="1"/>
  <c r="P119" i="2"/>
  <c r="O119" i="2" s="1"/>
  <c r="P120" i="2"/>
  <c r="O120" i="2" s="1"/>
  <c r="P121" i="2"/>
  <c r="O121" i="2" s="1"/>
  <c r="P122" i="2"/>
  <c r="O122" i="2" s="1"/>
  <c r="P123" i="2"/>
  <c r="O123" i="2" s="1"/>
  <c r="P124" i="2"/>
  <c r="O124" i="2" s="1"/>
  <c r="P125" i="2"/>
  <c r="O125" i="2" s="1"/>
  <c r="P126" i="2"/>
  <c r="O126" i="2" s="1"/>
  <c r="P127" i="2"/>
  <c r="O127" i="2" s="1"/>
  <c r="P128" i="2"/>
  <c r="O128" i="2" s="1"/>
  <c r="P129" i="2"/>
  <c r="O129" i="2" s="1"/>
  <c r="P130" i="2"/>
  <c r="O130" i="2" s="1"/>
  <c r="P131" i="2"/>
  <c r="O131" i="2" s="1"/>
  <c r="P132" i="2"/>
  <c r="O132" i="2" s="1"/>
  <c r="P133" i="2"/>
  <c r="O133" i="2" s="1"/>
  <c r="P134" i="2"/>
  <c r="O134" i="2" s="1"/>
  <c r="P135" i="2"/>
  <c r="O135" i="2" s="1"/>
  <c r="P136" i="2"/>
  <c r="O136" i="2" s="1"/>
  <c r="P137" i="2"/>
  <c r="O137" i="2" s="1"/>
  <c r="P138" i="2"/>
  <c r="O138" i="2" s="1"/>
  <c r="P139" i="2"/>
  <c r="O139" i="2" s="1"/>
  <c r="P140" i="2"/>
  <c r="O140" i="2" s="1"/>
  <c r="P141" i="2"/>
  <c r="O141" i="2" s="1"/>
  <c r="P142" i="2"/>
  <c r="O142" i="2" s="1"/>
  <c r="P143" i="2"/>
  <c r="O143" i="2" s="1"/>
  <c r="P144" i="2"/>
  <c r="O144" i="2" s="1"/>
  <c r="P145" i="2"/>
  <c r="O145" i="2" s="1"/>
  <c r="P146" i="2"/>
  <c r="O146" i="2" s="1"/>
  <c r="P147" i="2"/>
  <c r="O147" i="2" s="1"/>
  <c r="P148" i="2"/>
  <c r="O148" i="2" s="1"/>
  <c r="P149" i="2"/>
  <c r="O149" i="2" s="1"/>
  <c r="P150" i="2"/>
  <c r="O150" i="2" s="1"/>
  <c r="P151" i="2"/>
  <c r="O151" i="2" s="1"/>
  <c r="P152" i="2"/>
  <c r="O152" i="2" s="1"/>
  <c r="P153" i="2"/>
  <c r="O153" i="2" s="1"/>
  <c r="P154" i="2"/>
  <c r="O154" i="2" s="1"/>
  <c r="P155" i="2"/>
  <c r="O155" i="2" s="1"/>
  <c r="P156" i="2"/>
  <c r="O156" i="2" s="1"/>
  <c r="P157" i="2"/>
  <c r="O157" i="2" s="1"/>
  <c r="P158" i="2"/>
  <c r="O158" i="2" s="1"/>
  <c r="P159" i="2"/>
  <c r="O159" i="2" s="1"/>
  <c r="P160" i="2"/>
  <c r="O160" i="2" s="1"/>
  <c r="P161" i="2"/>
  <c r="O161" i="2" s="1"/>
  <c r="P162" i="2"/>
  <c r="O162" i="2" s="1"/>
  <c r="P163" i="2"/>
  <c r="O163" i="2" s="1"/>
  <c r="P164" i="2"/>
  <c r="O164" i="2" s="1"/>
  <c r="P165" i="2"/>
  <c r="O165" i="2" s="1"/>
  <c r="P166" i="2"/>
  <c r="O166" i="2" s="1"/>
  <c r="P167" i="2"/>
  <c r="O167" i="2" s="1"/>
  <c r="P168" i="2"/>
  <c r="O168" i="2" s="1"/>
  <c r="P169" i="2"/>
  <c r="O169" i="2" s="1"/>
  <c r="P170" i="2"/>
  <c r="O170" i="2" s="1"/>
  <c r="P171" i="2"/>
  <c r="O171" i="2" s="1"/>
  <c r="P172" i="2"/>
  <c r="O172" i="2" s="1"/>
  <c r="P173" i="2"/>
  <c r="P174" i="2"/>
  <c r="O174" i="2" s="1"/>
  <c r="P175" i="2"/>
  <c r="O175" i="2" s="1"/>
  <c r="P176" i="2"/>
  <c r="O176" i="2" s="1"/>
  <c r="P177" i="2"/>
  <c r="O177" i="2" s="1"/>
  <c r="P178" i="2"/>
  <c r="O178" i="2" s="1"/>
  <c r="P179" i="2"/>
  <c r="O179" i="2" s="1"/>
  <c r="P180" i="2"/>
  <c r="O180" i="2" s="1"/>
  <c r="P181" i="2"/>
  <c r="O181" i="2" s="1"/>
  <c r="P182" i="2"/>
  <c r="O182" i="2" s="1"/>
  <c r="P183" i="2"/>
  <c r="O183" i="2" s="1"/>
  <c r="P184" i="2"/>
  <c r="O184" i="2" s="1"/>
  <c r="P185" i="2"/>
  <c r="O185" i="2" s="1"/>
  <c r="P186" i="2"/>
  <c r="O186" i="2" s="1"/>
  <c r="P187" i="2"/>
  <c r="O187" i="2" s="1"/>
  <c r="P188" i="2"/>
  <c r="O188" i="2" s="1"/>
  <c r="P189" i="2"/>
  <c r="O189" i="2" s="1"/>
  <c r="P190" i="2"/>
  <c r="O190" i="2" s="1"/>
  <c r="P191" i="2"/>
  <c r="O191" i="2" s="1"/>
  <c r="P192" i="2"/>
  <c r="O192" i="2" s="1"/>
  <c r="P193" i="2"/>
  <c r="O193" i="2" s="1"/>
  <c r="P194" i="2"/>
  <c r="O194" i="2" s="1"/>
  <c r="P195" i="2"/>
  <c r="O195" i="2" s="1"/>
  <c r="P196" i="2"/>
  <c r="O196" i="2" s="1"/>
  <c r="P197" i="2"/>
  <c r="O197" i="2" s="1"/>
  <c r="P198" i="2"/>
  <c r="O198" i="2" s="1"/>
  <c r="P199" i="2"/>
  <c r="O199" i="2" s="1"/>
  <c r="P200" i="2"/>
  <c r="O200" i="2" s="1"/>
  <c r="P201" i="2"/>
  <c r="O201" i="2" s="1"/>
  <c r="P202" i="2"/>
  <c r="O202" i="2" s="1"/>
  <c r="P203" i="2"/>
  <c r="P204" i="2"/>
  <c r="O204" i="2" s="1"/>
  <c r="P205" i="2"/>
  <c r="O205" i="2" s="1"/>
  <c r="P206" i="2"/>
  <c r="O206" i="2" s="1"/>
  <c r="P207" i="2"/>
  <c r="O207" i="2" s="1"/>
  <c r="P208" i="2"/>
  <c r="O208" i="2" s="1"/>
  <c r="P209" i="2"/>
  <c r="O209" i="2" s="1"/>
  <c r="P210" i="2"/>
  <c r="O210" i="2" s="1"/>
  <c r="P211" i="2"/>
  <c r="O211" i="2" s="1"/>
  <c r="P212" i="2"/>
  <c r="O212" i="2" s="1"/>
  <c r="P213" i="2"/>
  <c r="O213" i="2" s="1"/>
  <c r="P214" i="2"/>
  <c r="O214" i="2" s="1"/>
  <c r="P215" i="2"/>
  <c r="O215" i="2" s="1"/>
  <c r="P216" i="2"/>
  <c r="O216" i="2" s="1"/>
  <c r="P217" i="2"/>
  <c r="O217" i="2" s="1"/>
  <c r="P218" i="2"/>
  <c r="O218" i="2" s="1"/>
  <c r="P219" i="2"/>
  <c r="O219" i="2" s="1"/>
  <c r="P220" i="2"/>
  <c r="O220" i="2" s="1"/>
  <c r="P221" i="2"/>
  <c r="P222" i="2"/>
  <c r="O222" i="2" s="1"/>
  <c r="P223" i="2"/>
  <c r="O223" i="2" s="1"/>
  <c r="P224" i="2"/>
  <c r="O224" i="2" s="1"/>
  <c r="P225" i="2"/>
  <c r="O225" i="2" s="1"/>
  <c r="P226" i="2"/>
  <c r="O226" i="2" s="1"/>
  <c r="P227" i="2"/>
  <c r="O227" i="2" s="1"/>
  <c r="P228" i="2"/>
  <c r="O228" i="2" s="1"/>
  <c r="P229" i="2"/>
  <c r="O229" i="2" s="1"/>
  <c r="P230" i="2"/>
  <c r="O230" i="2" s="1"/>
  <c r="P231" i="2"/>
  <c r="O231" i="2" s="1"/>
  <c r="P232" i="2"/>
  <c r="O232" i="2" s="1"/>
  <c r="P233" i="2"/>
  <c r="O233" i="2" s="1"/>
  <c r="P234" i="2"/>
  <c r="O234" i="2" s="1"/>
  <c r="P235" i="2"/>
  <c r="O235" i="2" s="1"/>
  <c r="P236" i="2"/>
  <c r="O236" i="2" s="1"/>
  <c r="P237" i="2"/>
  <c r="O237" i="2" s="1"/>
  <c r="P238" i="2"/>
  <c r="O238" i="2" s="1"/>
  <c r="P239" i="2"/>
  <c r="O239" i="2" s="1"/>
  <c r="P240" i="2"/>
  <c r="O240" i="2" s="1"/>
  <c r="P241" i="2"/>
  <c r="O241" i="2" s="1"/>
  <c r="P242" i="2"/>
  <c r="O242" i="2" s="1"/>
  <c r="P243" i="2"/>
  <c r="O243" i="2" s="1"/>
  <c r="P244" i="2"/>
  <c r="O244" i="2" s="1"/>
  <c r="P245" i="2"/>
  <c r="O245" i="2" s="1"/>
  <c r="P246" i="2"/>
  <c r="O246" i="2" s="1"/>
  <c r="P247" i="2"/>
  <c r="O247" i="2" s="1"/>
  <c r="P248" i="2"/>
  <c r="O248" i="2" s="1"/>
  <c r="P249" i="2"/>
  <c r="O249" i="2" s="1"/>
  <c r="P250" i="2"/>
  <c r="O250" i="2" s="1"/>
  <c r="P251" i="2"/>
  <c r="O251" i="2" s="1"/>
  <c r="P252" i="2"/>
  <c r="O252" i="2" s="1"/>
  <c r="P253" i="2"/>
  <c r="O253" i="2" s="1"/>
  <c r="P254" i="2"/>
  <c r="O254" i="2" s="1"/>
  <c r="P255" i="2"/>
  <c r="O255" i="2" s="1"/>
  <c r="P256" i="2"/>
  <c r="O256" i="2" s="1"/>
  <c r="P257" i="2"/>
  <c r="O257" i="2" s="1"/>
  <c r="P258" i="2"/>
  <c r="O258" i="2" s="1"/>
  <c r="P259" i="2"/>
  <c r="O259" i="2" s="1"/>
  <c r="O3" i="2"/>
  <c r="O5" i="2"/>
  <c r="O6" i="2"/>
  <c r="O7" i="2"/>
  <c r="O8" i="2"/>
  <c r="O9" i="2"/>
  <c r="O13" i="2"/>
  <c r="O14" i="2"/>
  <c r="O15" i="2"/>
  <c r="O16" i="2"/>
  <c r="O17" i="2"/>
  <c r="O51" i="2"/>
  <c r="O53" i="2"/>
  <c r="O75" i="2"/>
  <c r="O76" i="2"/>
  <c r="O77" i="2"/>
  <c r="O99" i="2"/>
  <c r="O109" i="2"/>
  <c r="O173" i="2"/>
  <c r="O203" i="2"/>
  <c r="O221" i="2"/>
  <c r="P2" i="2"/>
  <c r="O2" i="2" s="1"/>
  <c r="N2" i="2" l="1"/>
  <c r="S2" i="2" s="1"/>
  <c r="N159" i="2"/>
  <c r="S159" i="2" s="1"/>
  <c r="N103" i="2"/>
  <c r="S103" i="2" s="1"/>
  <c r="N39" i="2"/>
  <c r="S39" i="2" s="1"/>
  <c r="N196" i="2"/>
  <c r="S196" i="2" s="1"/>
  <c r="N76" i="2"/>
  <c r="S76" i="2" s="1"/>
  <c r="N199" i="2"/>
  <c r="S199" i="2" s="1"/>
  <c r="N87" i="2"/>
  <c r="S87" i="2" s="1"/>
  <c r="N47" i="2"/>
  <c r="S47" i="2" s="1"/>
  <c r="N148" i="2"/>
  <c r="S148" i="2" s="1"/>
  <c r="N244" i="2"/>
  <c r="S244" i="2" s="1"/>
  <c r="N204" i="2"/>
  <c r="S204" i="2" s="1"/>
  <c r="N140" i="2"/>
  <c r="S140" i="2" s="1"/>
  <c r="N252" i="2"/>
  <c r="S252" i="2" s="1"/>
  <c r="N100" i="2"/>
  <c r="S100" i="2" s="1"/>
  <c r="N68" i="2"/>
  <c r="S68" i="2" s="1"/>
  <c r="N44" i="2"/>
  <c r="S44" i="2" s="1"/>
  <c r="N36" i="2"/>
  <c r="S36" i="2" s="1"/>
  <c r="N220" i="2"/>
  <c r="S220" i="2" s="1"/>
  <c r="N188" i="2"/>
  <c r="S188" i="2" s="1"/>
  <c r="N180" i="2"/>
  <c r="S180" i="2" s="1"/>
  <c r="N164" i="2"/>
  <c r="S164" i="2" s="1"/>
  <c r="N124" i="2"/>
  <c r="S124" i="2" s="1"/>
  <c r="N108" i="2"/>
  <c r="S108" i="2" s="1"/>
  <c r="N60" i="2"/>
  <c r="S60" i="2" s="1"/>
  <c r="N4" i="2"/>
  <c r="S4" i="2" s="1"/>
  <c r="N236" i="2"/>
  <c r="S236" i="2" s="1"/>
  <c r="N228" i="2"/>
  <c r="S228" i="2" s="1"/>
  <c r="N212" i="2"/>
  <c r="S212" i="2" s="1"/>
  <c r="N172" i="2"/>
  <c r="S172" i="2" s="1"/>
  <c r="N156" i="2"/>
  <c r="S156" i="2" s="1"/>
  <c r="N132" i="2"/>
  <c r="S132" i="2" s="1"/>
  <c r="N116" i="2"/>
  <c r="S116" i="2" s="1"/>
  <c r="N92" i="2"/>
  <c r="S92" i="2" s="1"/>
  <c r="N84" i="2"/>
  <c r="S84" i="2" s="1"/>
  <c r="N52" i="2"/>
  <c r="S52" i="2" s="1"/>
  <c r="N28" i="2"/>
  <c r="S28" i="2" s="1"/>
  <c r="N20" i="2"/>
  <c r="S20" i="2" s="1"/>
  <c r="N12" i="2"/>
  <c r="S12" i="2" s="1"/>
  <c r="N255" i="2"/>
  <c r="S255" i="2" s="1"/>
  <c r="N143" i="2"/>
  <c r="S143" i="2" s="1"/>
  <c r="N111" i="2"/>
  <c r="S111" i="2" s="1"/>
  <c r="N31" i="2"/>
  <c r="S31" i="2" s="1"/>
  <c r="N246" i="2"/>
  <c r="S246" i="2" s="1"/>
  <c r="N214" i="2"/>
  <c r="S214" i="2" s="1"/>
  <c r="N206" i="2"/>
  <c r="S206" i="2" s="1"/>
  <c r="N190" i="2"/>
  <c r="S190" i="2" s="1"/>
  <c r="N158" i="2"/>
  <c r="S158" i="2" s="1"/>
  <c r="N142" i="2"/>
  <c r="S142" i="2" s="1"/>
  <c r="N134" i="2"/>
  <c r="S134" i="2" s="1"/>
  <c r="N110" i="2"/>
  <c r="S110" i="2" s="1"/>
  <c r="N70" i="2"/>
  <c r="S70" i="2" s="1"/>
  <c r="N256" i="2"/>
  <c r="S256" i="2" s="1"/>
  <c r="N248" i="2"/>
  <c r="S248" i="2" s="1"/>
  <c r="N240" i="2"/>
  <c r="S240" i="2" s="1"/>
  <c r="N232" i="2"/>
  <c r="S232" i="2" s="1"/>
  <c r="N224" i="2"/>
  <c r="S224" i="2" s="1"/>
  <c r="N213" i="2"/>
  <c r="S213" i="2" s="1"/>
  <c r="N208" i="2"/>
  <c r="S208" i="2" s="1"/>
  <c r="N197" i="2"/>
  <c r="S197" i="2" s="1"/>
  <c r="N192" i="2"/>
  <c r="S192" i="2" s="1"/>
  <c r="N181" i="2"/>
  <c r="S181" i="2" s="1"/>
  <c r="N176" i="2"/>
  <c r="S176" i="2" s="1"/>
  <c r="N165" i="2"/>
  <c r="S165" i="2" s="1"/>
  <c r="N157" i="2"/>
  <c r="S157" i="2" s="1"/>
  <c r="N149" i="2"/>
  <c r="S149" i="2" s="1"/>
  <c r="N144" i="2"/>
  <c r="S144" i="2" s="1"/>
  <c r="N136" i="2"/>
  <c r="S136" i="2" s="1"/>
  <c r="N128" i="2"/>
  <c r="S128" i="2" s="1"/>
  <c r="N120" i="2"/>
  <c r="S120" i="2" s="1"/>
  <c r="N112" i="2"/>
  <c r="S112" i="2" s="1"/>
  <c r="N104" i="2"/>
  <c r="S104" i="2" s="1"/>
  <c r="N93" i="2"/>
  <c r="S93" i="2" s="1"/>
  <c r="N88" i="2"/>
  <c r="S88" i="2" s="1"/>
  <c r="N77" i="2"/>
  <c r="S77" i="2" s="1"/>
  <c r="N72" i="2"/>
  <c r="S72" i="2" s="1"/>
  <c r="N61" i="2"/>
  <c r="S61" i="2" s="1"/>
  <c r="N56" i="2"/>
  <c r="S56" i="2" s="1"/>
  <c r="N45" i="2"/>
  <c r="S45" i="2" s="1"/>
  <c r="N40" i="2"/>
  <c r="S40" i="2" s="1"/>
  <c r="N32" i="2"/>
  <c r="S32" i="2" s="1"/>
  <c r="N21" i="2"/>
  <c r="S21" i="2" s="1"/>
  <c r="N16" i="2"/>
  <c r="S16" i="2" s="1"/>
  <c r="N254" i="2"/>
  <c r="S254" i="2" s="1"/>
  <c r="N238" i="2"/>
  <c r="S238" i="2" s="1"/>
  <c r="N230" i="2"/>
  <c r="S230" i="2" s="1"/>
  <c r="N222" i="2"/>
  <c r="S222" i="2" s="1"/>
  <c r="N198" i="2"/>
  <c r="S198" i="2" s="1"/>
  <c r="N174" i="2"/>
  <c r="S174" i="2" s="1"/>
  <c r="N166" i="2"/>
  <c r="S166" i="2" s="1"/>
  <c r="N150" i="2"/>
  <c r="S150" i="2" s="1"/>
  <c r="N126" i="2"/>
  <c r="S126" i="2" s="1"/>
  <c r="N118" i="2"/>
  <c r="S118" i="2" s="1"/>
  <c r="N102" i="2"/>
  <c r="S102" i="2" s="1"/>
  <c r="N94" i="2"/>
  <c r="S94" i="2" s="1"/>
  <c r="N86" i="2"/>
  <c r="S86" i="2" s="1"/>
  <c r="N78" i="2"/>
  <c r="S78" i="2" s="1"/>
  <c r="N62" i="2"/>
  <c r="S62" i="2" s="1"/>
  <c r="N54" i="2"/>
  <c r="S54" i="2" s="1"/>
  <c r="N46" i="2"/>
  <c r="S46" i="2" s="1"/>
  <c r="N38" i="2"/>
  <c r="S38" i="2" s="1"/>
  <c r="N30" i="2"/>
  <c r="S30" i="2" s="1"/>
  <c r="N22" i="2"/>
  <c r="S22" i="2" s="1"/>
  <c r="N6" i="2"/>
  <c r="S6" i="2" s="1"/>
  <c r="N253" i="2"/>
  <c r="S253" i="2" s="1"/>
  <c r="N245" i="2"/>
  <c r="S245" i="2" s="1"/>
  <c r="N237" i="2"/>
  <c r="S237" i="2" s="1"/>
  <c r="N229" i="2"/>
  <c r="S229" i="2" s="1"/>
  <c r="N221" i="2"/>
  <c r="S221" i="2" s="1"/>
  <c r="N216" i="2"/>
  <c r="S216" i="2" s="1"/>
  <c r="N205" i="2"/>
  <c r="S205" i="2" s="1"/>
  <c r="N200" i="2"/>
  <c r="S200" i="2" s="1"/>
  <c r="N189" i="2"/>
  <c r="S189" i="2" s="1"/>
  <c r="N184" i="2"/>
  <c r="S184" i="2" s="1"/>
  <c r="N173" i="2"/>
  <c r="S173" i="2" s="1"/>
  <c r="N168" i="2"/>
  <c r="S168" i="2" s="1"/>
  <c r="N160" i="2"/>
  <c r="S160" i="2" s="1"/>
  <c r="N152" i="2"/>
  <c r="S152" i="2" s="1"/>
  <c r="N141" i="2"/>
  <c r="S141" i="2" s="1"/>
  <c r="N133" i="2"/>
  <c r="S133" i="2" s="1"/>
  <c r="N125" i="2"/>
  <c r="S125" i="2" s="1"/>
  <c r="N117" i="2"/>
  <c r="S117" i="2" s="1"/>
  <c r="N109" i="2"/>
  <c r="S109" i="2" s="1"/>
  <c r="N101" i="2"/>
  <c r="S101" i="2" s="1"/>
  <c r="N96" i="2"/>
  <c r="S96" i="2" s="1"/>
  <c r="N85" i="2"/>
  <c r="S85" i="2" s="1"/>
  <c r="N80" i="2"/>
  <c r="S80" i="2" s="1"/>
  <c r="N69" i="2"/>
  <c r="S69" i="2" s="1"/>
  <c r="N64" i="2"/>
  <c r="S64" i="2" s="1"/>
  <c r="N53" i="2"/>
  <c r="S53" i="2" s="1"/>
  <c r="N48" i="2"/>
  <c r="S48" i="2" s="1"/>
  <c r="N37" i="2"/>
  <c r="S37" i="2" s="1"/>
  <c r="N29" i="2"/>
  <c r="S29" i="2" s="1"/>
  <c r="N24" i="2"/>
  <c r="S24" i="2" s="1"/>
  <c r="N13" i="2"/>
  <c r="S13" i="2" s="1"/>
  <c r="N8" i="2"/>
  <c r="S8" i="2" s="1"/>
  <c r="N5" i="2"/>
  <c r="S5" i="2" s="1"/>
  <c r="N247" i="2"/>
  <c r="S247" i="2" s="1"/>
  <c r="N239" i="2"/>
  <c r="S239" i="2" s="1"/>
  <c r="N231" i="2"/>
  <c r="S231" i="2" s="1"/>
  <c r="N223" i="2"/>
  <c r="S223" i="2" s="1"/>
  <c r="N215" i="2"/>
  <c r="S215" i="2" s="1"/>
  <c r="N207" i="2"/>
  <c r="S207" i="2" s="1"/>
  <c r="N191" i="2"/>
  <c r="S191" i="2" s="1"/>
  <c r="N183" i="2"/>
  <c r="S183" i="2" s="1"/>
  <c r="N175" i="2"/>
  <c r="S175" i="2" s="1"/>
  <c r="N167" i="2"/>
  <c r="S167" i="2" s="1"/>
  <c r="N151" i="2"/>
  <c r="S151" i="2" s="1"/>
  <c r="N135" i="2"/>
  <c r="S135" i="2" s="1"/>
  <c r="N127" i="2"/>
  <c r="S127" i="2" s="1"/>
  <c r="N119" i="2"/>
  <c r="S119" i="2" s="1"/>
  <c r="N95" i="2"/>
  <c r="S95" i="2" s="1"/>
  <c r="N79" i="2"/>
  <c r="S79" i="2" s="1"/>
  <c r="N71" i="2"/>
  <c r="S71" i="2" s="1"/>
  <c r="N63" i="2"/>
  <c r="S63" i="2" s="1"/>
  <c r="N55" i="2"/>
  <c r="S55" i="2" s="1"/>
  <c r="N23" i="2"/>
  <c r="S23" i="2" s="1"/>
  <c r="N15" i="2"/>
  <c r="S15" i="2" s="1"/>
  <c r="N7" i="2"/>
  <c r="S7" i="2" s="1"/>
  <c r="N250" i="2"/>
  <c r="S250" i="2" s="1"/>
  <c r="N234" i="2"/>
  <c r="S234" i="2" s="1"/>
  <c r="N218" i="2"/>
  <c r="S218" i="2" s="1"/>
  <c r="N202" i="2"/>
  <c r="S202" i="2" s="1"/>
  <c r="N186" i="2"/>
  <c r="S186" i="2" s="1"/>
  <c r="N170" i="2"/>
  <c r="S170" i="2" s="1"/>
  <c r="N154" i="2"/>
  <c r="S154" i="2" s="1"/>
  <c r="N138" i="2"/>
  <c r="S138" i="2" s="1"/>
  <c r="N122" i="2"/>
  <c r="S122" i="2" s="1"/>
  <c r="N106" i="2"/>
  <c r="S106" i="2" s="1"/>
  <c r="N98" i="2"/>
  <c r="S98" i="2" s="1"/>
  <c r="N90" i="2"/>
  <c r="S90" i="2" s="1"/>
  <c r="N74" i="2"/>
  <c r="S74" i="2" s="1"/>
  <c r="N66" i="2"/>
  <c r="S66" i="2" s="1"/>
  <c r="N58" i="2"/>
  <c r="S58" i="2" s="1"/>
  <c r="N50" i="2"/>
  <c r="S50" i="2" s="1"/>
  <c r="N42" i="2"/>
  <c r="S42" i="2" s="1"/>
  <c r="N34" i="2"/>
  <c r="S34" i="2" s="1"/>
  <c r="N26" i="2"/>
  <c r="S26" i="2" s="1"/>
  <c r="N18" i="2"/>
  <c r="S18" i="2" s="1"/>
  <c r="N10" i="2"/>
  <c r="S10" i="2" s="1"/>
  <c r="N257" i="2"/>
  <c r="S257" i="2" s="1"/>
  <c r="N249" i="2"/>
  <c r="S249" i="2" s="1"/>
  <c r="N241" i="2"/>
  <c r="S241" i="2" s="1"/>
  <c r="N233" i="2"/>
  <c r="S233" i="2" s="1"/>
  <c r="N225" i="2"/>
  <c r="S225" i="2" s="1"/>
  <c r="N217" i="2"/>
  <c r="S217" i="2" s="1"/>
  <c r="N209" i="2"/>
  <c r="S209" i="2" s="1"/>
  <c r="N201" i="2"/>
  <c r="S201" i="2" s="1"/>
  <c r="N193" i="2"/>
  <c r="S193" i="2" s="1"/>
  <c r="N185" i="2"/>
  <c r="S185" i="2" s="1"/>
  <c r="N177" i="2"/>
  <c r="S177" i="2" s="1"/>
  <c r="N169" i="2"/>
  <c r="S169" i="2" s="1"/>
  <c r="N161" i="2"/>
  <c r="S161" i="2" s="1"/>
  <c r="N153" i="2"/>
  <c r="S153" i="2" s="1"/>
  <c r="N145" i="2"/>
  <c r="S145" i="2" s="1"/>
  <c r="N137" i="2"/>
  <c r="S137" i="2" s="1"/>
  <c r="N129" i="2"/>
  <c r="S129" i="2" s="1"/>
  <c r="N121" i="2"/>
  <c r="S121" i="2" s="1"/>
  <c r="N113" i="2"/>
  <c r="S113" i="2" s="1"/>
  <c r="N105" i="2"/>
  <c r="S105" i="2" s="1"/>
  <c r="N97" i="2"/>
  <c r="S97" i="2" s="1"/>
  <c r="N89" i="2"/>
  <c r="S89" i="2" s="1"/>
  <c r="N81" i="2"/>
  <c r="S81" i="2" s="1"/>
  <c r="N73" i="2"/>
  <c r="S73" i="2" s="1"/>
  <c r="N65" i="2"/>
  <c r="S65" i="2" s="1"/>
  <c r="N57" i="2"/>
  <c r="S57" i="2" s="1"/>
  <c r="N49" i="2"/>
  <c r="S49" i="2" s="1"/>
  <c r="N41" i="2"/>
  <c r="S41" i="2" s="1"/>
  <c r="N33" i="2"/>
  <c r="S33" i="2" s="1"/>
  <c r="N25" i="2"/>
  <c r="S25" i="2" s="1"/>
  <c r="N17" i="2"/>
  <c r="S17" i="2" s="1"/>
  <c r="N9" i="2"/>
  <c r="S9" i="2" s="1"/>
  <c r="N258" i="2"/>
  <c r="S258" i="2" s="1"/>
  <c r="N242" i="2"/>
  <c r="S242" i="2" s="1"/>
  <c r="N226" i="2"/>
  <c r="S226" i="2" s="1"/>
  <c r="N210" i="2"/>
  <c r="S210" i="2" s="1"/>
  <c r="N194" i="2"/>
  <c r="S194" i="2" s="1"/>
  <c r="N178" i="2"/>
  <c r="S178" i="2" s="1"/>
  <c r="N162" i="2"/>
  <c r="S162" i="2" s="1"/>
  <c r="N146" i="2"/>
  <c r="S146" i="2" s="1"/>
  <c r="N130" i="2"/>
  <c r="S130" i="2" s="1"/>
  <c r="N114" i="2"/>
  <c r="S114" i="2" s="1"/>
  <c r="N82" i="2"/>
  <c r="S82" i="2" s="1"/>
  <c r="N259" i="2"/>
  <c r="S259" i="2" s="1"/>
  <c r="N251" i="2"/>
  <c r="S251" i="2" s="1"/>
  <c r="N243" i="2"/>
  <c r="S243" i="2" s="1"/>
  <c r="N235" i="2"/>
  <c r="S235" i="2" s="1"/>
  <c r="N227" i="2"/>
  <c r="S227" i="2" s="1"/>
  <c r="N219" i="2"/>
  <c r="S219" i="2" s="1"/>
  <c r="N211" i="2"/>
  <c r="S211" i="2" s="1"/>
  <c r="N203" i="2"/>
  <c r="S203" i="2" s="1"/>
  <c r="N195" i="2"/>
  <c r="S195" i="2" s="1"/>
  <c r="N187" i="2"/>
  <c r="S187" i="2" s="1"/>
  <c r="N179" i="2"/>
  <c r="S179" i="2" s="1"/>
  <c r="N171" i="2"/>
  <c r="S171" i="2" s="1"/>
  <c r="N163" i="2"/>
  <c r="S163" i="2" s="1"/>
  <c r="N155" i="2"/>
  <c r="S155" i="2" s="1"/>
  <c r="N147" i="2"/>
  <c r="S147" i="2" s="1"/>
  <c r="N139" i="2"/>
  <c r="S139" i="2" s="1"/>
  <c r="N131" i="2"/>
  <c r="S131" i="2" s="1"/>
  <c r="N123" i="2"/>
  <c r="S123" i="2" s="1"/>
  <c r="N115" i="2"/>
  <c r="S115" i="2" s="1"/>
  <c r="N107" i="2"/>
  <c r="S107" i="2" s="1"/>
  <c r="N99" i="2"/>
  <c r="S99" i="2" s="1"/>
  <c r="N91" i="2"/>
  <c r="S91" i="2" s="1"/>
  <c r="N83" i="2"/>
  <c r="S83" i="2" s="1"/>
  <c r="N75" i="2"/>
  <c r="S75" i="2" s="1"/>
  <c r="N67" i="2"/>
  <c r="S67" i="2" s="1"/>
  <c r="N59" i="2"/>
  <c r="S59" i="2" s="1"/>
  <c r="N51" i="2"/>
  <c r="S51" i="2" s="1"/>
  <c r="N43" i="2"/>
  <c r="S43" i="2" s="1"/>
  <c r="N35" i="2"/>
  <c r="S35" i="2" s="1"/>
  <c r="N27" i="2"/>
  <c r="S27" i="2" s="1"/>
  <c r="N19" i="2"/>
  <c r="S19" i="2" s="1"/>
  <c r="N11" i="2"/>
  <c r="S11" i="2" s="1"/>
  <c r="N3" i="2"/>
  <c r="S3" i="2" s="1"/>
</calcChain>
</file>

<file path=xl/sharedStrings.xml><?xml version="1.0" encoding="utf-8"?>
<sst xmlns="http://schemas.openxmlformats.org/spreadsheetml/2006/main" count="18" uniqueCount="18">
  <si>
    <t>REF_DATE</t>
  </si>
  <si>
    <t>c</t>
  </si>
  <si>
    <t>i</t>
  </si>
  <si>
    <t>g</t>
  </si>
  <si>
    <t>x</t>
  </si>
  <si>
    <t>m</t>
  </si>
  <si>
    <t>quarter</t>
  </si>
  <si>
    <t>c1</t>
  </si>
  <si>
    <t>c2</t>
  </si>
  <si>
    <t>i1</t>
  </si>
  <si>
    <t>i2</t>
  </si>
  <si>
    <t>g1</t>
  </si>
  <si>
    <t>g2</t>
  </si>
  <si>
    <t>gdp</t>
  </si>
  <si>
    <t>i3</t>
  </si>
  <si>
    <t>listed_gdp</t>
  </si>
  <si>
    <t>listed_discrepancy</t>
  </si>
  <si>
    <t>found_discrepancy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</si>
</sst>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90DD-EA1B-4D99-BA51-5E2FBB5118B3}">
  <dimension ref="A1:S259"/>
  <sheetViews>
    <sheetView tabSelected="1" topLeftCell="A222" workbookViewId="0">
      <selection activeCell="M259" sqref="M259"/>
    </sheetView>
  </sheetViews>
  <sheetFormatPr defaultRowHeight="14.5" x14ac:dyDescent="0.35"/>
  <cols>
    <col min="3" max="3" width="9" customWidth="1"/>
  </cols>
  <sheetData>
    <row r="1" spans="1:19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13</v>
      </c>
      <c r="O1" t="s">
        <v>6</v>
      </c>
      <c r="Q1" t="s">
        <v>15</v>
      </c>
      <c r="R1" t="s">
        <v>16</v>
      </c>
      <c r="S1" t="s">
        <v>17</v>
      </c>
    </row>
    <row r="2" spans="1:19" x14ac:dyDescent="0.35">
      <c r="A2" s="1">
        <v>22282</v>
      </c>
      <c r="B2">
        <v>193805</v>
      </c>
      <c r="C2">
        <v>2992</v>
      </c>
      <c r="D2">
        <v>50011</v>
      </c>
      <c r="E2">
        <v>331</v>
      </c>
      <c r="F2">
        <v>793</v>
      </c>
      <c r="G2">
        <v>98078</v>
      </c>
      <c r="H2">
        <v>14738</v>
      </c>
      <c r="I2">
        <f>B2+C2</f>
        <v>196797</v>
      </c>
      <c r="J2">
        <f>D2+E2+F2</f>
        <v>51135</v>
      </c>
      <c r="K2">
        <f>G2+H2</f>
        <v>112816</v>
      </c>
      <c r="L2">
        <v>46662</v>
      </c>
      <c r="M2">
        <v>40502</v>
      </c>
      <c r="N2">
        <f>SUM(I2:L2)-M2</f>
        <v>366908</v>
      </c>
      <c r="O2" t="str">
        <f>TEXT(A2,"yyyy") &amp; "Q" &amp; P2</f>
        <v>1961Q1</v>
      </c>
      <c r="P2">
        <f>ROUNDUP(MONTH(A2)/3,0)</f>
        <v>1</v>
      </c>
      <c r="Q2">
        <v>357727</v>
      </c>
      <c r="R2">
        <v>-3585</v>
      </c>
      <c r="S2">
        <f>Q2-N2</f>
        <v>-9181</v>
      </c>
    </row>
    <row r="3" spans="1:19" x14ac:dyDescent="0.35">
      <c r="A3" s="1">
        <v>22372</v>
      </c>
      <c r="B3">
        <v>197421</v>
      </c>
      <c r="C3">
        <v>3129</v>
      </c>
      <c r="D3">
        <v>50180</v>
      </c>
      <c r="E3">
        <v>306</v>
      </c>
      <c r="F3">
        <v>1256</v>
      </c>
      <c r="G3">
        <v>98488</v>
      </c>
      <c r="H3">
        <v>16249</v>
      </c>
      <c r="I3">
        <f t="shared" ref="I3:I66" si="0">B3+C3</f>
        <v>200550</v>
      </c>
      <c r="J3">
        <f t="shared" ref="J3:J66" si="1">D3+E3</f>
        <v>50486</v>
      </c>
      <c r="K3">
        <f t="shared" ref="K3:K66" si="2">G3+H3</f>
        <v>114737</v>
      </c>
      <c r="L3">
        <v>46147</v>
      </c>
      <c r="M3">
        <v>40380</v>
      </c>
      <c r="N3">
        <f t="shared" ref="N3:N66" si="3">SUM(I3:L3)-M3</f>
        <v>371540</v>
      </c>
      <c r="O3" t="str">
        <f t="shared" ref="O3:O66" si="4">TEXT(A3,"yyyy") &amp; "Q" &amp; P3</f>
        <v>1961Q2</v>
      </c>
      <c r="P3">
        <f t="shared" ref="P3:P66" si="5">ROUNDUP(MONTH(A3)/3,0)</f>
        <v>2</v>
      </c>
      <c r="Q3">
        <v>364222</v>
      </c>
      <c r="R3">
        <v>-1834</v>
      </c>
      <c r="S3">
        <f t="shared" ref="S3:S66" si="6">Q3-N3</f>
        <v>-7318</v>
      </c>
    </row>
    <row r="4" spans="1:19" x14ac:dyDescent="0.35">
      <c r="A4" s="1">
        <v>22463</v>
      </c>
      <c r="B4">
        <v>202241</v>
      </c>
      <c r="C4">
        <v>3232</v>
      </c>
      <c r="D4">
        <v>51835</v>
      </c>
      <c r="E4">
        <v>333</v>
      </c>
      <c r="F4">
        <v>-1931</v>
      </c>
      <c r="G4">
        <v>102535</v>
      </c>
      <c r="H4">
        <v>16813</v>
      </c>
      <c r="I4">
        <f t="shared" si="0"/>
        <v>205473</v>
      </c>
      <c r="J4">
        <f t="shared" si="1"/>
        <v>52168</v>
      </c>
      <c r="K4">
        <f t="shared" si="2"/>
        <v>119348</v>
      </c>
      <c r="L4">
        <v>47593</v>
      </c>
      <c r="M4">
        <v>40748</v>
      </c>
      <c r="N4">
        <f t="shared" si="3"/>
        <v>383834</v>
      </c>
      <c r="O4" t="str">
        <f t="shared" si="4"/>
        <v>1961Q3</v>
      </c>
      <c r="P4">
        <f t="shared" si="5"/>
        <v>3</v>
      </c>
      <c r="Q4">
        <v>374819</v>
      </c>
      <c r="R4">
        <v>1364</v>
      </c>
      <c r="S4">
        <f t="shared" si="6"/>
        <v>-9015</v>
      </c>
    </row>
    <row r="5" spans="1:19" x14ac:dyDescent="0.35">
      <c r="A5" s="1">
        <v>22555</v>
      </c>
      <c r="B5">
        <v>203009</v>
      </c>
      <c r="C5">
        <v>3262</v>
      </c>
      <c r="D5">
        <v>51478</v>
      </c>
      <c r="E5">
        <v>356</v>
      </c>
      <c r="F5">
        <v>2013</v>
      </c>
      <c r="G5">
        <v>101886</v>
      </c>
      <c r="H5">
        <v>17229</v>
      </c>
      <c r="I5">
        <f t="shared" si="0"/>
        <v>206271</v>
      </c>
      <c r="J5">
        <f t="shared" si="1"/>
        <v>51834</v>
      </c>
      <c r="K5">
        <f t="shared" si="2"/>
        <v>119115</v>
      </c>
      <c r="L5">
        <v>48603</v>
      </c>
      <c r="M5">
        <v>43695</v>
      </c>
      <c r="N5">
        <f t="shared" si="3"/>
        <v>382128</v>
      </c>
      <c r="O5" t="str">
        <f t="shared" si="4"/>
        <v>1961Q4</v>
      </c>
      <c r="P5">
        <f t="shared" si="5"/>
        <v>4</v>
      </c>
      <c r="Q5">
        <v>375445</v>
      </c>
      <c r="R5">
        <v>821</v>
      </c>
      <c r="S5">
        <f t="shared" si="6"/>
        <v>-6683</v>
      </c>
    </row>
    <row r="6" spans="1:19" x14ac:dyDescent="0.35">
      <c r="A6" s="1">
        <v>22647</v>
      </c>
      <c r="B6">
        <v>207687</v>
      </c>
      <c r="C6">
        <v>3365</v>
      </c>
      <c r="D6">
        <v>51237</v>
      </c>
      <c r="E6">
        <v>358</v>
      </c>
      <c r="F6">
        <v>2744</v>
      </c>
      <c r="G6">
        <v>102819</v>
      </c>
      <c r="H6">
        <v>18509</v>
      </c>
      <c r="I6">
        <f t="shared" si="0"/>
        <v>211052</v>
      </c>
      <c r="J6">
        <f t="shared" si="1"/>
        <v>51595</v>
      </c>
      <c r="K6">
        <f t="shared" si="2"/>
        <v>121328</v>
      </c>
      <c r="L6">
        <v>49066</v>
      </c>
      <c r="M6">
        <v>43730</v>
      </c>
      <c r="N6">
        <f t="shared" si="3"/>
        <v>389311</v>
      </c>
      <c r="O6" t="str">
        <f t="shared" si="4"/>
        <v>1962Q1</v>
      </c>
      <c r="P6">
        <f t="shared" si="5"/>
        <v>1</v>
      </c>
      <c r="Q6">
        <v>382628</v>
      </c>
      <c r="R6">
        <v>1738</v>
      </c>
      <c r="S6">
        <f t="shared" si="6"/>
        <v>-6683</v>
      </c>
    </row>
    <row r="7" spans="1:19" x14ac:dyDescent="0.35">
      <c r="A7" s="1">
        <v>22737</v>
      </c>
      <c r="B7">
        <v>208873</v>
      </c>
      <c r="C7">
        <v>3532</v>
      </c>
      <c r="D7">
        <v>51400</v>
      </c>
      <c r="E7">
        <v>359</v>
      </c>
      <c r="F7">
        <v>1213</v>
      </c>
      <c r="G7">
        <v>106688</v>
      </c>
      <c r="H7">
        <v>17987</v>
      </c>
      <c r="I7">
        <f t="shared" si="0"/>
        <v>212405</v>
      </c>
      <c r="J7">
        <f t="shared" si="1"/>
        <v>51759</v>
      </c>
      <c r="K7">
        <f t="shared" si="2"/>
        <v>124675</v>
      </c>
      <c r="L7">
        <v>49234</v>
      </c>
      <c r="M7">
        <v>42567</v>
      </c>
      <c r="N7">
        <f t="shared" si="3"/>
        <v>395506</v>
      </c>
      <c r="O7" t="str">
        <f t="shared" si="4"/>
        <v>1962Q2</v>
      </c>
      <c r="P7">
        <f t="shared" si="5"/>
        <v>2</v>
      </c>
      <c r="Q7">
        <v>386005</v>
      </c>
      <c r="R7">
        <v>2593</v>
      </c>
      <c r="S7">
        <f t="shared" si="6"/>
        <v>-9501</v>
      </c>
    </row>
    <row r="8" spans="1:19" x14ac:dyDescent="0.35">
      <c r="A8" s="1">
        <v>22828</v>
      </c>
      <c r="B8">
        <v>207986</v>
      </c>
      <c r="C8">
        <v>3703</v>
      </c>
      <c r="D8">
        <v>53668</v>
      </c>
      <c r="E8">
        <v>335</v>
      </c>
      <c r="F8">
        <v>4290</v>
      </c>
      <c r="G8">
        <v>105117</v>
      </c>
      <c r="H8">
        <v>18008</v>
      </c>
      <c r="I8">
        <f t="shared" si="0"/>
        <v>211689</v>
      </c>
      <c r="J8">
        <f t="shared" si="1"/>
        <v>54003</v>
      </c>
      <c r="K8">
        <f t="shared" si="2"/>
        <v>123125</v>
      </c>
      <c r="L8">
        <v>48435</v>
      </c>
      <c r="M8">
        <v>42134</v>
      </c>
      <c r="N8">
        <f t="shared" si="3"/>
        <v>395118</v>
      </c>
      <c r="O8" t="str">
        <f t="shared" si="4"/>
        <v>1962Q3</v>
      </c>
      <c r="P8">
        <f t="shared" si="5"/>
        <v>3</v>
      </c>
      <c r="Q8">
        <v>386933</v>
      </c>
      <c r="R8">
        <v>317</v>
      </c>
      <c r="S8">
        <f t="shared" si="6"/>
        <v>-8185</v>
      </c>
    </row>
    <row r="9" spans="1:19" x14ac:dyDescent="0.35">
      <c r="A9" s="1">
        <v>22920</v>
      </c>
      <c r="B9">
        <v>211777</v>
      </c>
      <c r="C9">
        <v>3840</v>
      </c>
      <c r="D9">
        <v>53091</v>
      </c>
      <c r="E9">
        <v>334</v>
      </c>
      <c r="F9">
        <v>2927</v>
      </c>
      <c r="G9">
        <v>106750</v>
      </c>
      <c r="H9">
        <v>17997</v>
      </c>
      <c r="I9">
        <f t="shared" si="0"/>
        <v>215617</v>
      </c>
      <c r="J9">
        <f t="shared" si="1"/>
        <v>53425</v>
      </c>
      <c r="K9">
        <f t="shared" si="2"/>
        <v>124747</v>
      </c>
      <c r="L9">
        <v>51033</v>
      </c>
      <c r="M9">
        <v>40730</v>
      </c>
      <c r="N9">
        <f t="shared" si="3"/>
        <v>404092</v>
      </c>
      <c r="O9" t="str">
        <f t="shared" si="4"/>
        <v>1962Q4</v>
      </c>
      <c r="P9">
        <f t="shared" si="5"/>
        <v>4</v>
      </c>
      <c r="Q9">
        <v>391595</v>
      </c>
      <c r="R9">
        <v>-132</v>
      </c>
      <c r="S9">
        <f t="shared" si="6"/>
        <v>-12497</v>
      </c>
    </row>
    <row r="10" spans="1:19" x14ac:dyDescent="0.35">
      <c r="A10" s="1">
        <v>23012</v>
      </c>
      <c r="B10">
        <v>213212</v>
      </c>
      <c r="C10">
        <v>3879</v>
      </c>
      <c r="D10">
        <v>52447</v>
      </c>
      <c r="E10">
        <v>352</v>
      </c>
      <c r="F10">
        <v>3083</v>
      </c>
      <c r="G10">
        <v>108820</v>
      </c>
      <c r="H10">
        <v>18059</v>
      </c>
      <c r="I10">
        <f t="shared" si="0"/>
        <v>217091</v>
      </c>
      <c r="J10">
        <f t="shared" si="1"/>
        <v>52799</v>
      </c>
      <c r="K10">
        <f t="shared" si="2"/>
        <v>126879</v>
      </c>
      <c r="L10">
        <v>51470</v>
      </c>
      <c r="M10">
        <v>40931</v>
      </c>
      <c r="N10">
        <f t="shared" si="3"/>
        <v>407308</v>
      </c>
      <c r="O10" t="str">
        <f t="shared" si="4"/>
        <v>1963Q1</v>
      </c>
      <c r="P10">
        <f t="shared" si="5"/>
        <v>1</v>
      </c>
      <c r="Q10">
        <v>393851</v>
      </c>
      <c r="R10">
        <v>-604</v>
      </c>
      <c r="S10">
        <f t="shared" si="6"/>
        <v>-13457</v>
      </c>
    </row>
    <row r="11" spans="1:19" x14ac:dyDescent="0.35">
      <c r="A11" s="1">
        <v>23102</v>
      </c>
      <c r="B11">
        <v>217082</v>
      </c>
      <c r="C11">
        <v>3982</v>
      </c>
      <c r="D11">
        <v>53944</v>
      </c>
      <c r="E11">
        <v>327</v>
      </c>
      <c r="F11">
        <v>2344</v>
      </c>
      <c r="G11">
        <v>108732</v>
      </c>
      <c r="H11">
        <v>18130</v>
      </c>
      <c r="I11">
        <f t="shared" si="0"/>
        <v>221064</v>
      </c>
      <c r="J11">
        <f t="shared" si="1"/>
        <v>54271</v>
      </c>
      <c r="K11">
        <f t="shared" si="2"/>
        <v>126862</v>
      </c>
      <c r="L11">
        <v>52627</v>
      </c>
      <c r="M11">
        <v>42067</v>
      </c>
      <c r="N11">
        <f t="shared" si="3"/>
        <v>412757</v>
      </c>
      <c r="O11" t="str">
        <f t="shared" si="4"/>
        <v>1963Q2</v>
      </c>
      <c r="P11">
        <f t="shared" si="5"/>
        <v>2</v>
      </c>
      <c r="Q11">
        <v>400099</v>
      </c>
      <c r="R11">
        <v>1079</v>
      </c>
      <c r="S11">
        <f t="shared" si="6"/>
        <v>-12658</v>
      </c>
    </row>
    <row r="12" spans="1:19" x14ac:dyDescent="0.35">
      <c r="A12" s="1">
        <v>23193</v>
      </c>
      <c r="B12">
        <v>218342</v>
      </c>
      <c r="C12">
        <v>3986</v>
      </c>
      <c r="D12">
        <v>55359</v>
      </c>
      <c r="E12">
        <v>377</v>
      </c>
      <c r="F12">
        <v>3185</v>
      </c>
      <c r="G12">
        <v>111041</v>
      </c>
      <c r="H12">
        <v>17915</v>
      </c>
      <c r="I12">
        <f t="shared" si="0"/>
        <v>222328</v>
      </c>
      <c r="J12">
        <f t="shared" si="1"/>
        <v>55736</v>
      </c>
      <c r="K12">
        <f t="shared" si="2"/>
        <v>128956</v>
      </c>
      <c r="L12">
        <v>52990</v>
      </c>
      <c r="M12">
        <v>43808</v>
      </c>
      <c r="N12">
        <f t="shared" si="3"/>
        <v>416202</v>
      </c>
      <c r="O12" t="str">
        <f t="shared" si="4"/>
        <v>1963Q3</v>
      </c>
      <c r="P12">
        <f t="shared" si="5"/>
        <v>3</v>
      </c>
      <c r="Q12">
        <v>404369</v>
      </c>
      <c r="R12">
        <v>828</v>
      </c>
      <c r="S12">
        <f t="shared" si="6"/>
        <v>-11833</v>
      </c>
    </row>
    <row r="13" spans="1:19" x14ac:dyDescent="0.35">
      <c r="A13" s="1">
        <v>23285</v>
      </c>
      <c r="B13">
        <v>222099</v>
      </c>
      <c r="C13">
        <v>4020</v>
      </c>
      <c r="D13">
        <v>58204</v>
      </c>
      <c r="E13">
        <v>400</v>
      </c>
      <c r="F13">
        <v>3713</v>
      </c>
      <c r="G13">
        <v>111683</v>
      </c>
      <c r="H13">
        <v>18320</v>
      </c>
      <c r="I13">
        <f t="shared" si="0"/>
        <v>226119</v>
      </c>
      <c r="J13">
        <f t="shared" si="1"/>
        <v>58604</v>
      </c>
      <c r="K13">
        <f t="shared" si="2"/>
        <v>130003</v>
      </c>
      <c r="L13">
        <v>58081</v>
      </c>
      <c r="M13">
        <v>45567</v>
      </c>
      <c r="N13">
        <f t="shared" si="3"/>
        <v>427240</v>
      </c>
      <c r="O13" t="str">
        <f t="shared" si="4"/>
        <v>1963Q4</v>
      </c>
      <c r="P13">
        <f t="shared" si="5"/>
        <v>4</v>
      </c>
      <c r="Q13">
        <v>412926</v>
      </c>
      <c r="R13">
        <v>214</v>
      </c>
      <c r="S13">
        <f t="shared" si="6"/>
        <v>-14314</v>
      </c>
    </row>
    <row r="14" spans="1:19" x14ac:dyDescent="0.35">
      <c r="A14" s="1">
        <v>23377</v>
      </c>
      <c r="B14">
        <v>226274</v>
      </c>
      <c r="C14">
        <v>4020</v>
      </c>
      <c r="D14">
        <v>62055</v>
      </c>
      <c r="E14">
        <v>369</v>
      </c>
      <c r="F14">
        <v>4563</v>
      </c>
      <c r="G14">
        <v>117906</v>
      </c>
      <c r="H14">
        <v>17946</v>
      </c>
      <c r="I14">
        <f t="shared" si="0"/>
        <v>230294</v>
      </c>
      <c r="J14">
        <f t="shared" si="1"/>
        <v>62424</v>
      </c>
      <c r="K14">
        <f t="shared" si="2"/>
        <v>135852</v>
      </c>
      <c r="L14">
        <v>59034</v>
      </c>
      <c r="M14">
        <v>47335</v>
      </c>
      <c r="N14">
        <f t="shared" si="3"/>
        <v>440269</v>
      </c>
      <c r="O14" t="str">
        <f t="shared" si="4"/>
        <v>1964Q1</v>
      </c>
      <c r="P14">
        <f t="shared" si="5"/>
        <v>1</v>
      </c>
      <c r="Q14">
        <v>425429</v>
      </c>
      <c r="R14">
        <v>-1952</v>
      </c>
      <c r="S14">
        <f t="shared" si="6"/>
        <v>-14840</v>
      </c>
    </row>
    <row r="15" spans="1:19" x14ac:dyDescent="0.35">
      <c r="A15" s="1">
        <v>23468</v>
      </c>
      <c r="B15">
        <v>226918</v>
      </c>
      <c r="C15">
        <v>4020</v>
      </c>
      <c r="D15">
        <v>62775</v>
      </c>
      <c r="E15">
        <v>417</v>
      </c>
      <c r="F15">
        <v>2362</v>
      </c>
      <c r="G15">
        <v>115836</v>
      </c>
      <c r="H15">
        <v>18192</v>
      </c>
      <c r="I15">
        <f t="shared" si="0"/>
        <v>230938</v>
      </c>
      <c r="J15">
        <f t="shared" si="1"/>
        <v>63192</v>
      </c>
      <c r="K15">
        <f t="shared" si="2"/>
        <v>134028</v>
      </c>
      <c r="L15">
        <v>62863</v>
      </c>
      <c r="M15">
        <v>49050</v>
      </c>
      <c r="N15">
        <f t="shared" si="3"/>
        <v>441971</v>
      </c>
      <c r="O15" t="str">
        <f t="shared" si="4"/>
        <v>1964Q2</v>
      </c>
      <c r="P15">
        <f t="shared" si="5"/>
        <v>2</v>
      </c>
      <c r="Q15">
        <v>426158</v>
      </c>
      <c r="R15">
        <v>1159</v>
      </c>
      <c r="S15">
        <f t="shared" si="6"/>
        <v>-15813</v>
      </c>
    </row>
    <row r="16" spans="1:19" x14ac:dyDescent="0.35">
      <c r="A16" s="1">
        <v>23559</v>
      </c>
      <c r="B16">
        <v>231404</v>
      </c>
      <c r="C16">
        <v>4089</v>
      </c>
      <c r="D16">
        <v>63668</v>
      </c>
      <c r="E16">
        <v>442</v>
      </c>
      <c r="F16">
        <v>2414</v>
      </c>
      <c r="G16">
        <v>115021</v>
      </c>
      <c r="H16">
        <v>18560</v>
      </c>
      <c r="I16">
        <f t="shared" si="0"/>
        <v>235493</v>
      </c>
      <c r="J16">
        <f t="shared" si="1"/>
        <v>64110</v>
      </c>
      <c r="K16">
        <f t="shared" si="2"/>
        <v>133581</v>
      </c>
      <c r="L16">
        <v>61906</v>
      </c>
      <c r="M16">
        <v>48309</v>
      </c>
      <c r="N16">
        <f t="shared" si="3"/>
        <v>446781</v>
      </c>
      <c r="O16" t="str">
        <f t="shared" si="4"/>
        <v>1964Q3</v>
      </c>
      <c r="P16">
        <f t="shared" si="5"/>
        <v>3</v>
      </c>
      <c r="Q16">
        <v>432315</v>
      </c>
      <c r="R16">
        <v>234</v>
      </c>
      <c r="S16">
        <f t="shared" si="6"/>
        <v>-14466</v>
      </c>
    </row>
    <row r="17" spans="1:19" x14ac:dyDescent="0.35">
      <c r="A17" s="1">
        <v>23651</v>
      </c>
      <c r="B17">
        <v>233048</v>
      </c>
      <c r="C17">
        <v>4265</v>
      </c>
      <c r="D17">
        <v>68117</v>
      </c>
      <c r="E17">
        <v>438</v>
      </c>
      <c r="F17">
        <v>172</v>
      </c>
      <c r="G17">
        <v>118321</v>
      </c>
      <c r="H17">
        <v>19477</v>
      </c>
      <c r="I17">
        <f t="shared" si="0"/>
        <v>237313</v>
      </c>
      <c r="J17">
        <f t="shared" si="1"/>
        <v>68555</v>
      </c>
      <c r="K17">
        <f t="shared" si="2"/>
        <v>137798</v>
      </c>
      <c r="L17">
        <v>60607</v>
      </c>
      <c r="M17">
        <v>49511</v>
      </c>
      <c r="N17">
        <f t="shared" si="3"/>
        <v>454762</v>
      </c>
      <c r="O17" t="str">
        <f t="shared" si="4"/>
        <v>1964Q4</v>
      </c>
      <c r="P17">
        <f t="shared" si="5"/>
        <v>4</v>
      </c>
      <c r="Q17">
        <v>442724</v>
      </c>
      <c r="R17">
        <v>324</v>
      </c>
      <c r="S17">
        <f t="shared" si="6"/>
        <v>-12038</v>
      </c>
    </row>
    <row r="18" spans="1:19" x14ac:dyDescent="0.35">
      <c r="A18" s="1">
        <v>23743</v>
      </c>
      <c r="B18">
        <v>235172</v>
      </c>
      <c r="C18">
        <v>4334</v>
      </c>
      <c r="D18">
        <v>67304</v>
      </c>
      <c r="E18">
        <v>404</v>
      </c>
      <c r="F18">
        <v>8157</v>
      </c>
      <c r="G18">
        <v>120100</v>
      </c>
      <c r="H18">
        <v>20440</v>
      </c>
      <c r="I18">
        <f t="shared" si="0"/>
        <v>239506</v>
      </c>
      <c r="J18">
        <f t="shared" si="1"/>
        <v>67708</v>
      </c>
      <c r="K18">
        <f t="shared" si="2"/>
        <v>140540</v>
      </c>
      <c r="L18">
        <v>61111</v>
      </c>
      <c r="M18">
        <v>52256</v>
      </c>
      <c r="N18">
        <f t="shared" si="3"/>
        <v>456609</v>
      </c>
      <c r="O18" t="str">
        <f t="shared" si="4"/>
        <v>1965Q1</v>
      </c>
      <c r="P18">
        <f t="shared" si="5"/>
        <v>1</v>
      </c>
      <c r="Q18">
        <v>446409</v>
      </c>
      <c r="R18">
        <v>-1348</v>
      </c>
      <c r="S18">
        <f t="shared" si="6"/>
        <v>-10200</v>
      </c>
    </row>
    <row r="19" spans="1:19" x14ac:dyDescent="0.35">
      <c r="A19" s="1">
        <v>23833</v>
      </c>
      <c r="B19">
        <v>240839</v>
      </c>
      <c r="C19">
        <v>4338</v>
      </c>
      <c r="D19">
        <v>68755</v>
      </c>
      <c r="E19">
        <v>451</v>
      </c>
      <c r="F19">
        <v>6021</v>
      </c>
      <c r="G19">
        <v>120618</v>
      </c>
      <c r="H19">
        <v>20138</v>
      </c>
      <c r="I19">
        <f t="shared" si="0"/>
        <v>245177</v>
      </c>
      <c r="J19">
        <f t="shared" si="1"/>
        <v>69206</v>
      </c>
      <c r="K19">
        <f t="shared" si="2"/>
        <v>140756</v>
      </c>
      <c r="L19">
        <v>61979</v>
      </c>
      <c r="M19">
        <v>53563</v>
      </c>
      <c r="N19">
        <f t="shared" si="3"/>
        <v>463555</v>
      </c>
      <c r="O19" t="str">
        <f t="shared" si="4"/>
        <v>1965Q2</v>
      </c>
      <c r="P19">
        <f t="shared" si="5"/>
        <v>2</v>
      </c>
      <c r="Q19">
        <v>454472</v>
      </c>
      <c r="R19">
        <v>-301</v>
      </c>
      <c r="S19">
        <f t="shared" si="6"/>
        <v>-9083</v>
      </c>
    </row>
    <row r="20" spans="1:19" x14ac:dyDescent="0.35">
      <c r="A20" s="1">
        <v>23924</v>
      </c>
      <c r="B20">
        <v>244765</v>
      </c>
      <c r="C20">
        <v>4407</v>
      </c>
      <c r="D20">
        <v>72366</v>
      </c>
      <c r="E20">
        <v>471</v>
      </c>
      <c r="F20">
        <v>3133</v>
      </c>
      <c r="G20">
        <v>122173</v>
      </c>
      <c r="H20">
        <v>21193</v>
      </c>
      <c r="I20">
        <f t="shared" si="0"/>
        <v>249172</v>
      </c>
      <c r="J20">
        <f t="shared" si="1"/>
        <v>72837</v>
      </c>
      <c r="K20">
        <f t="shared" si="2"/>
        <v>143366</v>
      </c>
      <c r="L20">
        <v>64446</v>
      </c>
      <c r="M20">
        <v>55265</v>
      </c>
      <c r="N20">
        <f t="shared" si="3"/>
        <v>474556</v>
      </c>
      <c r="O20" t="str">
        <f t="shared" si="4"/>
        <v>1965Q3</v>
      </c>
      <c r="P20">
        <f t="shared" si="5"/>
        <v>3</v>
      </c>
      <c r="Q20">
        <v>465593</v>
      </c>
      <c r="R20">
        <v>89</v>
      </c>
      <c r="S20">
        <f t="shared" si="6"/>
        <v>-8963</v>
      </c>
    </row>
    <row r="21" spans="1:19" x14ac:dyDescent="0.35">
      <c r="A21" s="1">
        <v>24016</v>
      </c>
      <c r="B21">
        <v>249765</v>
      </c>
      <c r="C21">
        <v>4544</v>
      </c>
      <c r="D21">
        <v>74955</v>
      </c>
      <c r="E21">
        <v>462</v>
      </c>
      <c r="F21">
        <v>3961</v>
      </c>
      <c r="G21">
        <v>124812</v>
      </c>
      <c r="H21">
        <v>21664</v>
      </c>
      <c r="I21">
        <f t="shared" si="0"/>
        <v>254309</v>
      </c>
      <c r="J21">
        <f t="shared" si="1"/>
        <v>75417</v>
      </c>
      <c r="K21">
        <f t="shared" si="2"/>
        <v>146476</v>
      </c>
      <c r="L21">
        <v>67960</v>
      </c>
      <c r="M21">
        <v>59164</v>
      </c>
      <c r="N21">
        <f t="shared" si="3"/>
        <v>484998</v>
      </c>
      <c r="O21" t="str">
        <f t="shared" si="4"/>
        <v>1965Q4</v>
      </c>
      <c r="P21">
        <f t="shared" si="5"/>
        <v>4</v>
      </c>
      <c r="Q21">
        <v>476568</v>
      </c>
      <c r="R21">
        <v>902</v>
      </c>
      <c r="S21">
        <f t="shared" si="6"/>
        <v>-8430</v>
      </c>
    </row>
    <row r="22" spans="1:19" x14ac:dyDescent="0.35">
      <c r="A22" s="1">
        <v>24108</v>
      </c>
      <c r="B22">
        <v>251393</v>
      </c>
      <c r="C22">
        <v>4642</v>
      </c>
      <c r="D22">
        <v>77458</v>
      </c>
      <c r="E22">
        <v>429</v>
      </c>
      <c r="F22">
        <v>5211</v>
      </c>
      <c r="G22">
        <v>127441</v>
      </c>
      <c r="H22">
        <v>22310</v>
      </c>
      <c r="I22">
        <f t="shared" si="0"/>
        <v>256035</v>
      </c>
      <c r="J22">
        <f t="shared" si="1"/>
        <v>77887</v>
      </c>
      <c r="K22">
        <f t="shared" si="2"/>
        <v>149751</v>
      </c>
      <c r="L22">
        <v>69039</v>
      </c>
      <c r="M22">
        <v>60037</v>
      </c>
      <c r="N22">
        <f t="shared" si="3"/>
        <v>492675</v>
      </c>
      <c r="O22" t="str">
        <f t="shared" si="4"/>
        <v>1966Q1</v>
      </c>
      <c r="P22">
        <f t="shared" si="5"/>
        <v>1</v>
      </c>
      <c r="Q22">
        <v>483920</v>
      </c>
      <c r="R22">
        <v>496</v>
      </c>
      <c r="S22">
        <f t="shared" si="6"/>
        <v>-8755</v>
      </c>
    </row>
    <row r="23" spans="1:19" x14ac:dyDescent="0.35">
      <c r="A23" s="1">
        <v>24198</v>
      </c>
      <c r="B23">
        <v>252687</v>
      </c>
      <c r="C23">
        <v>4642</v>
      </c>
      <c r="D23">
        <v>79848</v>
      </c>
      <c r="E23">
        <v>489</v>
      </c>
      <c r="F23">
        <v>8215</v>
      </c>
      <c r="G23">
        <v>131224</v>
      </c>
      <c r="H23">
        <v>22899</v>
      </c>
      <c r="I23">
        <f t="shared" si="0"/>
        <v>257329</v>
      </c>
      <c r="J23">
        <f t="shared" si="1"/>
        <v>80337</v>
      </c>
      <c r="K23">
        <f t="shared" si="2"/>
        <v>154123</v>
      </c>
      <c r="L23">
        <v>70275</v>
      </c>
      <c r="M23">
        <v>61037</v>
      </c>
      <c r="N23">
        <f t="shared" si="3"/>
        <v>501027</v>
      </c>
      <c r="O23" t="str">
        <f t="shared" si="4"/>
        <v>1966Q2</v>
      </c>
      <c r="P23">
        <f t="shared" si="5"/>
        <v>2</v>
      </c>
      <c r="Q23">
        <v>491440</v>
      </c>
      <c r="R23">
        <v>-2621</v>
      </c>
      <c r="S23">
        <f t="shared" si="6"/>
        <v>-9587</v>
      </c>
    </row>
    <row r="24" spans="1:19" x14ac:dyDescent="0.35">
      <c r="A24" s="1">
        <v>24289</v>
      </c>
      <c r="B24">
        <v>257358</v>
      </c>
      <c r="C24">
        <v>4779</v>
      </c>
      <c r="D24">
        <v>78816</v>
      </c>
      <c r="E24">
        <v>483</v>
      </c>
      <c r="F24">
        <v>4018</v>
      </c>
      <c r="G24">
        <v>134400</v>
      </c>
      <c r="H24">
        <v>23012</v>
      </c>
      <c r="I24">
        <f t="shared" si="0"/>
        <v>262137</v>
      </c>
      <c r="J24">
        <f t="shared" si="1"/>
        <v>79299</v>
      </c>
      <c r="K24">
        <f t="shared" si="2"/>
        <v>157412</v>
      </c>
      <c r="L24">
        <v>74547</v>
      </c>
      <c r="M24">
        <v>63151</v>
      </c>
      <c r="N24">
        <f t="shared" si="3"/>
        <v>510244</v>
      </c>
      <c r="O24" t="str">
        <f t="shared" si="4"/>
        <v>1966Q3</v>
      </c>
      <c r="P24">
        <f t="shared" si="5"/>
        <v>3</v>
      </c>
      <c r="Q24">
        <v>497610</v>
      </c>
      <c r="R24">
        <v>-3467</v>
      </c>
      <c r="S24">
        <f t="shared" si="6"/>
        <v>-12634</v>
      </c>
    </row>
    <row r="25" spans="1:19" x14ac:dyDescent="0.35">
      <c r="A25" s="1">
        <v>24381</v>
      </c>
      <c r="B25">
        <v>257448</v>
      </c>
      <c r="C25">
        <v>4809</v>
      </c>
      <c r="D25">
        <v>79522</v>
      </c>
      <c r="E25">
        <v>502</v>
      </c>
      <c r="F25">
        <v>3904</v>
      </c>
      <c r="G25">
        <v>138573</v>
      </c>
      <c r="H25">
        <v>23554</v>
      </c>
      <c r="I25">
        <f t="shared" si="0"/>
        <v>262257</v>
      </c>
      <c r="J25">
        <f t="shared" si="1"/>
        <v>80024</v>
      </c>
      <c r="K25">
        <f t="shared" si="2"/>
        <v>162127</v>
      </c>
      <c r="L25">
        <v>75183</v>
      </c>
      <c r="M25">
        <v>65454</v>
      </c>
      <c r="N25">
        <f t="shared" si="3"/>
        <v>514137</v>
      </c>
      <c r="O25" t="str">
        <f t="shared" si="4"/>
        <v>1966Q4</v>
      </c>
      <c r="P25">
        <f t="shared" si="5"/>
        <v>4</v>
      </c>
      <c r="Q25">
        <v>501915</v>
      </c>
      <c r="R25">
        <v>1296</v>
      </c>
      <c r="S25">
        <f t="shared" si="6"/>
        <v>-12222</v>
      </c>
    </row>
    <row r="26" spans="1:19" x14ac:dyDescent="0.35">
      <c r="A26" s="1">
        <v>24473</v>
      </c>
      <c r="B26">
        <v>259850</v>
      </c>
      <c r="C26">
        <v>4672</v>
      </c>
      <c r="D26">
        <v>80104</v>
      </c>
      <c r="E26">
        <v>494</v>
      </c>
      <c r="F26">
        <v>923</v>
      </c>
      <c r="G26">
        <v>138765</v>
      </c>
      <c r="H26">
        <v>23221</v>
      </c>
      <c r="I26">
        <f t="shared" si="0"/>
        <v>264522</v>
      </c>
      <c r="J26">
        <f t="shared" si="1"/>
        <v>80598</v>
      </c>
      <c r="K26">
        <f t="shared" si="2"/>
        <v>161986</v>
      </c>
      <c r="L26">
        <v>76494</v>
      </c>
      <c r="M26">
        <v>65567</v>
      </c>
      <c r="N26">
        <f t="shared" si="3"/>
        <v>518033</v>
      </c>
      <c r="O26" t="str">
        <f t="shared" si="4"/>
        <v>1967Q1</v>
      </c>
      <c r="P26">
        <f t="shared" si="5"/>
        <v>1</v>
      </c>
      <c r="Q26">
        <v>504803</v>
      </c>
      <c r="R26">
        <v>1022</v>
      </c>
      <c r="S26">
        <f t="shared" si="6"/>
        <v>-13230</v>
      </c>
    </row>
    <row r="27" spans="1:19" x14ac:dyDescent="0.35">
      <c r="A27" s="1">
        <v>24563</v>
      </c>
      <c r="B27">
        <v>264618</v>
      </c>
      <c r="C27">
        <v>4775</v>
      </c>
      <c r="D27">
        <v>79057</v>
      </c>
      <c r="E27">
        <v>511</v>
      </c>
      <c r="F27">
        <v>171</v>
      </c>
      <c r="G27">
        <v>144793</v>
      </c>
      <c r="H27">
        <v>23826</v>
      </c>
      <c r="I27">
        <f t="shared" si="0"/>
        <v>269393</v>
      </c>
      <c r="J27">
        <f t="shared" si="1"/>
        <v>79568</v>
      </c>
      <c r="K27">
        <f t="shared" si="2"/>
        <v>168619</v>
      </c>
      <c r="L27">
        <v>81365</v>
      </c>
      <c r="M27">
        <v>66304</v>
      </c>
      <c r="N27">
        <f t="shared" si="3"/>
        <v>532641</v>
      </c>
      <c r="O27" t="str">
        <f t="shared" si="4"/>
        <v>1967Q2</v>
      </c>
      <c r="P27">
        <f t="shared" si="5"/>
        <v>2</v>
      </c>
      <c r="Q27">
        <v>513511</v>
      </c>
      <c r="R27">
        <v>-564</v>
      </c>
      <c r="S27">
        <f t="shared" si="6"/>
        <v>-19130</v>
      </c>
    </row>
    <row r="28" spans="1:19" x14ac:dyDescent="0.35">
      <c r="A28" s="1">
        <v>24654</v>
      </c>
      <c r="B28">
        <v>264291</v>
      </c>
      <c r="C28">
        <v>4706</v>
      </c>
      <c r="D28">
        <v>77785</v>
      </c>
      <c r="E28">
        <v>470</v>
      </c>
      <c r="F28">
        <v>1997</v>
      </c>
      <c r="G28">
        <v>145585</v>
      </c>
      <c r="H28">
        <v>23698</v>
      </c>
      <c r="I28">
        <f t="shared" si="0"/>
        <v>268997</v>
      </c>
      <c r="J28">
        <f t="shared" si="1"/>
        <v>78255</v>
      </c>
      <c r="K28">
        <f t="shared" si="2"/>
        <v>169283</v>
      </c>
      <c r="L28">
        <v>80992</v>
      </c>
      <c r="M28">
        <v>66234</v>
      </c>
      <c r="N28">
        <f t="shared" si="3"/>
        <v>531293</v>
      </c>
      <c r="O28" t="str">
        <f t="shared" si="4"/>
        <v>1967Q3</v>
      </c>
      <c r="P28">
        <f t="shared" si="5"/>
        <v>3</v>
      </c>
      <c r="Q28">
        <v>511852</v>
      </c>
      <c r="R28">
        <v>-436</v>
      </c>
      <c r="S28">
        <f t="shared" si="6"/>
        <v>-19441</v>
      </c>
    </row>
    <row r="29" spans="1:19" x14ac:dyDescent="0.35">
      <c r="A29" s="1">
        <v>24746</v>
      </c>
      <c r="B29">
        <v>269596</v>
      </c>
      <c r="C29">
        <v>4637</v>
      </c>
      <c r="D29">
        <v>76161</v>
      </c>
      <c r="E29">
        <v>470</v>
      </c>
      <c r="F29">
        <v>-236</v>
      </c>
      <c r="G29">
        <v>147147</v>
      </c>
      <c r="H29">
        <v>23857</v>
      </c>
      <c r="I29">
        <f t="shared" si="0"/>
        <v>274233</v>
      </c>
      <c r="J29">
        <f t="shared" si="1"/>
        <v>76631</v>
      </c>
      <c r="K29">
        <f t="shared" si="2"/>
        <v>171004</v>
      </c>
      <c r="L29">
        <v>81223</v>
      </c>
      <c r="M29">
        <v>65677</v>
      </c>
      <c r="N29">
        <f t="shared" si="3"/>
        <v>537414</v>
      </c>
      <c r="O29" t="str">
        <f t="shared" si="4"/>
        <v>1967Q4</v>
      </c>
      <c r="P29">
        <f t="shared" si="5"/>
        <v>4</v>
      </c>
      <c r="Q29">
        <v>516845</v>
      </c>
      <c r="R29">
        <v>-503</v>
      </c>
      <c r="S29">
        <f t="shared" si="6"/>
        <v>-20569</v>
      </c>
    </row>
    <row r="30" spans="1:19" x14ac:dyDescent="0.35">
      <c r="A30" s="1">
        <v>24838</v>
      </c>
      <c r="B30">
        <v>272466</v>
      </c>
      <c r="C30">
        <v>4504</v>
      </c>
      <c r="D30">
        <v>77995</v>
      </c>
      <c r="E30">
        <v>469</v>
      </c>
      <c r="F30">
        <v>163</v>
      </c>
      <c r="G30">
        <v>148575</v>
      </c>
      <c r="H30">
        <v>24108</v>
      </c>
      <c r="I30">
        <f t="shared" si="0"/>
        <v>276970</v>
      </c>
      <c r="J30">
        <f t="shared" si="1"/>
        <v>78464</v>
      </c>
      <c r="K30">
        <f t="shared" si="2"/>
        <v>172683</v>
      </c>
      <c r="L30">
        <v>85468</v>
      </c>
      <c r="M30">
        <v>71379</v>
      </c>
      <c r="N30">
        <f t="shared" si="3"/>
        <v>542206</v>
      </c>
      <c r="O30" t="str">
        <f t="shared" si="4"/>
        <v>1968Q1</v>
      </c>
      <c r="P30">
        <f t="shared" si="5"/>
        <v>1</v>
      </c>
      <c r="Q30">
        <v>523250</v>
      </c>
      <c r="R30">
        <v>316</v>
      </c>
      <c r="S30">
        <f t="shared" si="6"/>
        <v>-18956</v>
      </c>
    </row>
    <row r="31" spans="1:19" x14ac:dyDescent="0.35">
      <c r="A31" s="1">
        <v>24929</v>
      </c>
      <c r="B31">
        <v>273726</v>
      </c>
      <c r="C31">
        <v>4371</v>
      </c>
      <c r="D31">
        <v>78342</v>
      </c>
      <c r="E31">
        <v>492</v>
      </c>
      <c r="F31">
        <v>2450</v>
      </c>
      <c r="G31">
        <v>151593</v>
      </c>
      <c r="H31">
        <v>23821</v>
      </c>
      <c r="I31">
        <f t="shared" si="0"/>
        <v>278097</v>
      </c>
      <c r="J31">
        <f t="shared" si="1"/>
        <v>78834</v>
      </c>
      <c r="K31">
        <f t="shared" si="2"/>
        <v>175414</v>
      </c>
      <c r="L31">
        <v>88519</v>
      </c>
      <c r="M31">
        <v>69010</v>
      </c>
      <c r="N31">
        <f t="shared" si="3"/>
        <v>551854</v>
      </c>
      <c r="O31" t="str">
        <f t="shared" si="4"/>
        <v>1968Q2</v>
      </c>
      <c r="P31">
        <f t="shared" si="5"/>
        <v>2</v>
      </c>
      <c r="Q31">
        <v>526561</v>
      </c>
      <c r="R31">
        <v>79</v>
      </c>
      <c r="S31">
        <f t="shared" si="6"/>
        <v>-25293</v>
      </c>
    </row>
    <row r="32" spans="1:19" x14ac:dyDescent="0.35">
      <c r="A32" s="1">
        <v>25020</v>
      </c>
      <c r="B32">
        <v>278975</v>
      </c>
      <c r="C32">
        <v>4440</v>
      </c>
      <c r="D32">
        <v>78413</v>
      </c>
      <c r="E32">
        <v>513</v>
      </c>
      <c r="F32">
        <v>3473</v>
      </c>
      <c r="G32">
        <v>155722</v>
      </c>
      <c r="H32">
        <v>23786</v>
      </c>
      <c r="I32">
        <f t="shared" si="0"/>
        <v>283415</v>
      </c>
      <c r="J32">
        <f t="shared" si="1"/>
        <v>78926</v>
      </c>
      <c r="K32">
        <f t="shared" si="2"/>
        <v>179508</v>
      </c>
      <c r="L32">
        <v>90818</v>
      </c>
      <c r="M32">
        <v>71717</v>
      </c>
      <c r="N32">
        <f t="shared" si="3"/>
        <v>560950</v>
      </c>
      <c r="O32" t="str">
        <f t="shared" si="4"/>
        <v>1968Q3</v>
      </c>
      <c r="P32">
        <f t="shared" si="5"/>
        <v>3</v>
      </c>
      <c r="Q32">
        <v>535202</v>
      </c>
      <c r="R32">
        <v>-1738</v>
      </c>
      <c r="S32">
        <f t="shared" si="6"/>
        <v>-25748</v>
      </c>
    </row>
    <row r="33" spans="1:19" x14ac:dyDescent="0.35">
      <c r="A33" s="1">
        <v>25112</v>
      </c>
      <c r="B33">
        <v>282896</v>
      </c>
      <c r="C33">
        <v>4264</v>
      </c>
      <c r="D33">
        <v>80554</v>
      </c>
      <c r="E33">
        <v>548</v>
      </c>
      <c r="F33">
        <v>4258</v>
      </c>
      <c r="G33">
        <v>158509</v>
      </c>
      <c r="H33">
        <v>24103</v>
      </c>
      <c r="I33">
        <f t="shared" si="0"/>
        <v>287160</v>
      </c>
      <c r="J33">
        <f t="shared" si="1"/>
        <v>81102</v>
      </c>
      <c r="K33">
        <f t="shared" si="2"/>
        <v>182612</v>
      </c>
      <c r="L33">
        <v>94601</v>
      </c>
      <c r="M33">
        <v>78840</v>
      </c>
      <c r="N33">
        <f t="shared" si="3"/>
        <v>566635</v>
      </c>
      <c r="O33" t="str">
        <f t="shared" si="4"/>
        <v>1968Q4</v>
      </c>
      <c r="P33">
        <f t="shared" si="5"/>
        <v>4</v>
      </c>
      <c r="Q33">
        <v>544103</v>
      </c>
      <c r="R33">
        <v>1501</v>
      </c>
      <c r="S33">
        <f t="shared" si="6"/>
        <v>-22532</v>
      </c>
    </row>
    <row r="34" spans="1:19" x14ac:dyDescent="0.35">
      <c r="A34" s="1">
        <v>25204</v>
      </c>
      <c r="B34">
        <v>289370</v>
      </c>
      <c r="C34">
        <v>4328</v>
      </c>
      <c r="D34">
        <v>82587</v>
      </c>
      <c r="E34">
        <v>497</v>
      </c>
      <c r="F34">
        <v>4811</v>
      </c>
      <c r="G34">
        <v>158224</v>
      </c>
      <c r="H34">
        <v>23212</v>
      </c>
      <c r="I34">
        <f t="shared" si="0"/>
        <v>293698</v>
      </c>
      <c r="J34">
        <f t="shared" si="1"/>
        <v>83084</v>
      </c>
      <c r="K34">
        <f t="shared" si="2"/>
        <v>181436</v>
      </c>
      <c r="L34">
        <v>95679</v>
      </c>
      <c r="M34">
        <v>81927</v>
      </c>
      <c r="N34">
        <f t="shared" si="3"/>
        <v>571970</v>
      </c>
      <c r="O34" t="str">
        <f t="shared" si="4"/>
        <v>1969Q1</v>
      </c>
      <c r="P34">
        <f t="shared" si="5"/>
        <v>1</v>
      </c>
      <c r="Q34">
        <v>552323</v>
      </c>
      <c r="R34">
        <v>3181</v>
      </c>
      <c r="S34">
        <f t="shared" si="6"/>
        <v>-19647</v>
      </c>
    </row>
    <row r="35" spans="1:19" x14ac:dyDescent="0.35">
      <c r="A35" s="1">
        <v>25294</v>
      </c>
      <c r="B35">
        <v>288064</v>
      </c>
      <c r="C35">
        <v>4392</v>
      </c>
      <c r="D35">
        <v>83894</v>
      </c>
      <c r="E35">
        <v>510</v>
      </c>
      <c r="F35">
        <v>5211</v>
      </c>
      <c r="G35">
        <v>161370</v>
      </c>
      <c r="H35">
        <v>23647</v>
      </c>
      <c r="I35">
        <f t="shared" si="0"/>
        <v>292456</v>
      </c>
      <c r="J35">
        <f t="shared" si="1"/>
        <v>84404</v>
      </c>
      <c r="K35">
        <f t="shared" si="2"/>
        <v>185017</v>
      </c>
      <c r="L35">
        <v>94685</v>
      </c>
      <c r="M35">
        <v>82251</v>
      </c>
      <c r="N35">
        <f t="shared" si="3"/>
        <v>574311</v>
      </c>
      <c r="O35" t="str">
        <f t="shared" si="4"/>
        <v>1969Q2</v>
      </c>
      <c r="P35">
        <f t="shared" si="5"/>
        <v>2</v>
      </c>
      <c r="Q35">
        <v>555103</v>
      </c>
      <c r="R35">
        <v>3886</v>
      </c>
      <c r="S35">
        <f t="shared" si="6"/>
        <v>-19208</v>
      </c>
    </row>
    <row r="36" spans="1:19" x14ac:dyDescent="0.35">
      <c r="A36" s="1">
        <v>25385</v>
      </c>
      <c r="B36">
        <v>290788</v>
      </c>
      <c r="C36">
        <v>4567</v>
      </c>
      <c r="D36">
        <v>84717</v>
      </c>
      <c r="E36">
        <v>550</v>
      </c>
      <c r="F36">
        <v>5965</v>
      </c>
      <c r="G36">
        <v>161540</v>
      </c>
      <c r="H36">
        <v>23684</v>
      </c>
      <c r="I36">
        <f t="shared" si="0"/>
        <v>295355</v>
      </c>
      <c r="J36">
        <f t="shared" si="1"/>
        <v>85267</v>
      </c>
      <c r="K36">
        <f t="shared" si="2"/>
        <v>185224</v>
      </c>
      <c r="L36">
        <v>95943</v>
      </c>
      <c r="M36">
        <v>81435</v>
      </c>
      <c r="N36">
        <f t="shared" si="3"/>
        <v>580354</v>
      </c>
      <c r="O36" t="str">
        <f t="shared" si="4"/>
        <v>1969Q3</v>
      </c>
      <c r="P36">
        <f t="shared" si="5"/>
        <v>3</v>
      </c>
      <c r="Q36">
        <v>559488</v>
      </c>
      <c r="R36">
        <v>1863</v>
      </c>
      <c r="S36">
        <f t="shared" si="6"/>
        <v>-20866</v>
      </c>
    </row>
    <row r="37" spans="1:19" x14ac:dyDescent="0.35">
      <c r="A37" s="1">
        <v>25477</v>
      </c>
      <c r="B37">
        <v>294392</v>
      </c>
      <c r="C37">
        <v>4533</v>
      </c>
      <c r="D37">
        <v>85641</v>
      </c>
      <c r="E37">
        <v>560</v>
      </c>
      <c r="F37">
        <v>6689</v>
      </c>
      <c r="G37">
        <v>164186</v>
      </c>
      <c r="H37">
        <v>23540</v>
      </c>
      <c r="I37">
        <f t="shared" si="0"/>
        <v>298925</v>
      </c>
      <c r="J37">
        <f t="shared" si="1"/>
        <v>86201</v>
      </c>
      <c r="K37">
        <f t="shared" si="2"/>
        <v>187726</v>
      </c>
      <c r="L37">
        <v>101809</v>
      </c>
      <c r="M37">
        <v>84295</v>
      </c>
      <c r="N37">
        <f t="shared" si="3"/>
        <v>590366</v>
      </c>
      <c r="O37" t="str">
        <f t="shared" si="4"/>
        <v>1969Q4</v>
      </c>
      <c r="P37">
        <f t="shared" si="5"/>
        <v>4</v>
      </c>
      <c r="Q37">
        <v>566068</v>
      </c>
      <c r="R37">
        <v>-822</v>
      </c>
      <c r="S37">
        <f t="shared" si="6"/>
        <v>-24298</v>
      </c>
    </row>
    <row r="38" spans="1:19" x14ac:dyDescent="0.35">
      <c r="A38" s="1">
        <v>25569</v>
      </c>
      <c r="B38">
        <v>291596</v>
      </c>
      <c r="C38">
        <v>4606</v>
      </c>
      <c r="D38">
        <v>86530</v>
      </c>
      <c r="E38">
        <v>576</v>
      </c>
      <c r="F38">
        <v>2438</v>
      </c>
      <c r="G38">
        <v>170251</v>
      </c>
      <c r="H38">
        <v>22808</v>
      </c>
      <c r="I38">
        <f t="shared" si="0"/>
        <v>296202</v>
      </c>
      <c r="J38">
        <f t="shared" si="1"/>
        <v>87106</v>
      </c>
      <c r="K38">
        <f t="shared" si="2"/>
        <v>193059</v>
      </c>
      <c r="L38">
        <v>105575</v>
      </c>
      <c r="M38">
        <v>81724</v>
      </c>
      <c r="N38">
        <f t="shared" si="3"/>
        <v>600218</v>
      </c>
      <c r="O38" t="str">
        <f t="shared" si="4"/>
        <v>1970Q1</v>
      </c>
      <c r="P38">
        <f t="shared" si="5"/>
        <v>1</v>
      </c>
      <c r="Q38">
        <v>567522</v>
      </c>
      <c r="R38">
        <v>315</v>
      </c>
      <c r="S38">
        <f t="shared" si="6"/>
        <v>-32696</v>
      </c>
    </row>
    <row r="39" spans="1:19" x14ac:dyDescent="0.35">
      <c r="A39" s="1">
        <v>25659</v>
      </c>
      <c r="B39">
        <v>293698</v>
      </c>
      <c r="C39">
        <v>4674</v>
      </c>
      <c r="D39">
        <v>82939</v>
      </c>
      <c r="E39">
        <v>550</v>
      </c>
      <c r="F39">
        <v>2798</v>
      </c>
      <c r="G39">
        <v>176639</v>
      </c>
      <c r="H39">
        <v>22557</v>
      </c>
      <c r="I39">
        <f t="shared" si="0"/>
        <v>298372</v>
      </c>
      <c r="J39">
        <f t="shared" si="1"/>
        <v>83489</v>
      </c>
      <c r="K39">
        <f t="shared" si="2"/>
        <v>199196</v>
      </c>
      <c r="L39">
        <v>105532</v>
      </c>
      <c r="M39">
        <v>82531</v>
      </c>
      <c r="N39">
        <f t="shared" si="3"/>
        <v>604058</v>
      </c>
      <c r="O39" t="str">
        <f t="shared" si="4"/>
        <v>1970Q2</v>
      </c>
      <c r="P39">
        <f t="shared" si="5"/>
        <v>2</v>
      </c>
      <c r="Q39">
        <v>569819</v>
      </c>
      <c r="R39">
        <v>-1328</v>
      </c>
      <c r="S39">
        <f t="shared" si="6"/>
        <v>-34239</v>
      </c>
    </row>
    <row r="40" spans="1:19" x14ac:dyDescent="0.35">
      <c r="A40" s="1">
        <v>25750</v>
      </c>
      <c r="B40">
        <v>299342</v>
      </c>
      <c r="C40">
        <v>4644</v>
      </c>
      <c r="D40">
        <v>85181</v>
      </c>
      <c r="E40">
        <v>547</v>
      </c>
      <c r="F40">
        <v>3645</v>
      </c>
      <c r="G40">
        <v>172600</v>
      </c>
      <c r="H40">
        <v>23150</v>
      </c>
      <c r="I40">
        <f t="shared" si="0"/>
        <v>303986</v>
      </c>
      <c r="J40">
        <f t="shared" si="1"/>
        <v>85728</v>
      </c>
      <c r="K40">
        <f t="shared" si="2"/>
        <v>195750</v>
      </c>
      <c r="L40">
        <v>106547</v>
      </c>
      <c r="M40">
        <v>82694</v>
      </c>
      <c r="N40">
        <f t="shared" si="3"/>
        <v>609317</v>
      </c>
      <c r="O40" t="str">
        <f t="shared" si="4"/>
        <v>1970Q3</v>
      </c>
      <c r="P40">
        <f t="shared" si="5"/>
        <v>3</v>
      </c>
      <c r="Q40">
        <v>576363</v>
      </c>
      <c r="R40">
        <v>-4512</v>
      </c>
      <c r="S40">
        <f t="shared" si="6"/>
        <v>-32954</v>
      </c>
    </row>
    <row r="41" spans="1:19" x14ac:dyDescent="0.35">
      <c r="A41" s="1">
        <v>25842</v>
      </c>
      <c r="B41">
        <v>302110</v>
      </c>
      <c r="C41">
        <v>4747</v>
      </c>
      <c r="D41">
        <v>86076</v>
      </c>
      <c r="E41">
        <v>557</v>
      </c>
      <c r="F41">
        <v>-4018</v>
      </c>
      <c r="G41">
        <v>176231</v>
      </c>
      <c r="H41">
        <v>24016</v>
      </c>
      <c r="I41">
        <f t="shared" si="0"/>
        <v>306857</v>
      </c>
      <c r="J41">
        <f t="shared" si="1"/>
        <v>86633</v>
      </c>
      <c r="K41">
        <f t="shared" si="2"/>
        <v>200247</v>
      </c>
      <c r="L41">
        <v>106063</v>
      </c>
      <c r="M41">
        <v>78146</v>
      </c>
      <c r="N41">
        <f t="shared" si="3"/>
        <v>621654</v>
      </c>
      <c r="O41" t="str">
        <f t="shared" si="4"/>
        <v>1970Q4</v>
      </c>
      <c r="P41">
        <f t="shared" si="5"/>
        <v>4</v>
      </c>
      <c r="Q41">
        <v>584106</v>
      </c>
      <c r="R41">
        <v>-4812</v>
      </c>
      <c r="S41">
        <f t="shared" si="6"/>
        <v>-37548</v>
      </c>
    </row>
    <row r="42" spans="1:19" x14ac:dyDescent="0.35">
      <c r="A42" s="1">
        <v>25934</v>
      </c>
      <c r="B42">
        <v>300150</v>
      </c>
      <c r="C42">
        <v>4649</v>
      </c>
      <c r="D42">
        <v>85882</v>
      </c>
      <c r="E42">
        <v>564</v>
      </c>
      <c r="F42">
        <v>-2715</v>
      </c>
      <c r="G42">
        <v>173434</v>
      </c>
      <c r="H42">
        <v>24979</v>
      </c>
      <c r="I42">
        <f t="shared" si="0"/>
        <v>304799</v>
      </c>
      <c r="J42">
        <f t="shared" si="1"/>
        <v>86446</v>
      </c>
      <c r="K42">
        <f t="shared" si="2"/>
        <v>198413</v>
      </c>
      <c r="L42">
        <v>108041</v>
      </c>
      <c r="M42">
        <v>79426</v>
      </c>
      <c r="N42">
        <f t="shared" si="3"/>
        <v>618273</v>
      </c>
      <c r="O42" t="str">
        <f t="shared" si="4"/>
        <v>1971Q1</v>
      </c>
      <c r="P42">
        <f t="shared" si="5"/>
        <v>1</v>
      </c>
      <c r="Q42">
        <v>580844</v>
      </c>
      <c r="R42">
        <v>-3678</v>
      </c>
      <c r="S42">
        <f t="shared" si="6"/>
        <v>-37429</v>
      </c>
    </row>
    <row r="43" spans="1:19" x14ac:dyDescent="0.35">
      <c r="A43" s="1">
        <v>26024</v>
      </c>
      <c r="B43">
        <v>310477</v>
      </c>
      <c r="C43">
        <v>4884</v>
      </c>
      <c r="D43">
        <v>89258</v>
      </c>
      <c r="E43">
        <v>562</v>
      </c>
      <c r="F43">
        <v>74</v>
      </c>
      <c r="G43">
        <v>179717</v>
      </c>
      <c r="H43">
        <v>26173</v>
      </c>
      <c r="I43">
        <f t="shared" si="0"/>
        <v>315361</v>
      </c>
      <c r="J43">
        <f t="shared" si="1"/>
        <v>89820</v>
      </c>
      <c r="K43">
        <f t="shared" si="2"/>
        <v>205890</v>
      </c>
      <c r="L43">
        <v>109655</v>
      </c>
      <c r="M43">
        <v>85532</v>
      </c>
      <c r="N43">
        <f t="shared" si="3"/>
        <v>635194</v>
      </c>
      <c r="O43" t="str">
        <f t="shared" si="4"/>
        <v>1971Q2</v>
      </c>
      <c r="P43">
        <f t="shared" si="5"/>
        <v>2</v>
      </c>
      <c r="Q43">
        <v>602024</v>
      </c>
      <c r="R43">
        <v>-2381</v>
      </c>
      <c r="S43">
        <f t="shared" si="6"/>
        <v>-33170</v>
      </c>
    </row>
    <row r="44" spans="1:19" x14ac:dyDescent="0.35">
      <c r="A44" s="1">
        <v>26115</v>
      </c>
      <c r="B44">
        <v>317353</v>
      </c>
      <c r="C44">
        <v>5060</v>
      </c>
      <c r="D44">
        <v>91373</v>
      </c>
      <c r="E44">
        <v>554</v>
      </c>
      <c r="F44">
        <v>3169</v>
      </c>
      <c r="G44">
        <v>182690</v>
      </c>
      <c r="H44">
        <v>26814</v>
      </c>
      <c r="I44">
        <f t="shared" si="0"/>
        <v>322413</v>
      </c>
      <c r="J44">
        <f t="shared" si="1"/>
        <v>91927</v>
      </c>
      <c r="K44">
        <f t="shared" si="2"/>
        <v>209504</v>
      </c>
      <c r="L44">
        <v>115099</v>
      </c>
      <c r="M44">
        <v>90076</v>
      </c>
      <c r="N44">
        <f t="shared" si="3"/>
        <v>648867</v>
      </c>
      <c r="O44" t="str">
        <f t="shared" si="4"/>
        <v>1971Q3</v>
      </c>
      <c r="P44">
        <f t="shared" si="5"/>
        <v>3</v>
      </c>
      <c r="Q44">
        <v>614942</v>
      </c>
      <c r="R44">
        <v>-3744</v>
      </c>
      <c r="S44">
        <f t="shared" si="6"/>
        <v>-33925</v>
      </c>
    </row>
    <row r="45" spans="1:19" x14ac:dyDescent="0.35">
      <c r="A45" s="1">
        <v>26207</v>
      </c>
      <c r="B45">
        <v>324240</v>
      </c>
      <c r="C45">
        <v>4962</v>
      </c>
      <c r="D45">
        <v>93743</v>
      </c>
      <c r="E45">
        <v>573</v>
      </c>
      <c r="F45">
        <v>4132</v>
      </c>
      <c r="G45">
        <v>185267</v>
      </c>
      <c r="H45">
        <v>26624</v>
      </c>
      <c r="I45">
        <f t="shared" si="0"/>
        <v>329202</v>
      </c>
      <c r="J45">
        <f t="shared" si="1"/>
        <v>94316</v>
      </c>
      <c r="K45">
        <f t="shared" si="2"/>
        <v>211891</v>
      </c>
      <c r="L45">
        <v>111549</v>
      </c>
      <c r="M45">
        <v>92444</v>
      </c>
      <c r="N45">
        <f t="shared" si="3"/>
        <v>654514</v>
      </c>
      <c r="O45" t="str">
        <f t="shared" si="4"/>
        <v>1971Q4</v>
      </c>
      <c r="P45">
        <f t="shared" si="5"/>
        <v>4</v>
      </c>
      <c r="Q45">
        <v>626599</v>
      </c>
      <c r="R45">
        <v>-3029</v>
      </c>
      <c r="S45">
        <f t="shared" si="6"/>
        <v>-27915</v>
      </c>
    </row>
    <row r="46" spans="1:19" x14ac:dyDescent="0.35">
      <c r="A46" s="1">
        <v>26299</v>
      </c>
      <c r="B46">
        <v>325369</v>
      </c>
      <c r="C46">
        <v>5279</v>
      </c>
      <c r="D46">
        <v>94631</v>
      </c>
      <c r="E46">
        <v>567</v>
      </c>
      <c r="F46">
        <v>119</v>
      </c>
      <c r="G46">
        <v>181616</v>
      </c>
      <c r="H46">
        <v>26035</v>
      </c>
      <c r="I46">
        <f t="shared" si="0"/>
        <v>330648</v>
      </c>
      <c r="J46">
        <f t="shared" si="1"/>
        <v>95198</v>
      </c>
      <c r="K46">
        <f t="shared" si="2"/>
        <v>207651</v>
      </c>
      <c r="L46">
        <v>112922</v>
      </c>
      <c r="M46">
        <v>92523</v>
      </c>
      <c r="N46">
        <f t="shared" si="3"/>
        <v>653896</v>
      </c>
      <c r="O46" t="str">
        <f t="shared" si="4"/>
        <v>1972Q1</v>
      </c>
      <c r="P46">
        <f t="shared" si="5"/>
        <v>1</v>
      </c>
      <c r="Q46">
        <v>625923</v>
      </c>
      <c r="R46">
        <v>185</v>
      </c>
      <c r="S46">
        <f t="shared" si="6"/>
        <v>-27973</v>
      </c>
    </row>
    <row r="47" spans="1:19" x14ac:dyDescent="0.35">
      <c r="A47" s="1">
        <v>26390</v>
      </c>
      <c r="B47">
        <v>333471</v>
      </c>
      <c r="C47">
        <v>5258</v>
      </c>
      <c r="D47">
        <v>95985</v>
      </c>
      <c r="E47">
        <v>601</v>
      </c>
      <c r="F47">
        <v>2452</v>
      </c>
      <c r="G47">
        <v>184451</v>
      </c>
      <c r="H47">
        <v>26173</v>
      </c>
      <c r="I47">
        <f t="shared" si="0"/>
        <v>338729</v>
      </c>
      <c r="J47">
        <f t="shared" si="1"/>
        <v>96586</v>
      </c>
      <c r="K47">
        <f t="shared" si="2"/>
        <v>210624</v>
      </c>
      <c r="L47">
        <v>122033</v>
      </c>
      <c r="M47">
        <v>98194</v>
      </c>
      <c r="N47">
        <f t="shared" si="3"/>
        <v>669778</v>
      </c>
      <c r="O47" t="str">
        <f t="shared" si="4"/>
        <v>1972Q2</v>
      </c>
      <c r="P47">
        <f t="shared" si="5"/>
        <v>2</v>
      </c>
      <c r="Q47">
        <v>638346</v>
      </c>
      <c r="R47">
        <v>-1245</v>
      </c>
      <c r="S47">
        <f t="shared" si="6"/>
        <v>-31432</v>
      </c>
    </row>
    <row r="48" spans="1:19" x14ac:dyDescent="0.35">
      <c r="A48" s="1">
        <v>26481</v>
      </c>
      <c r="B48">
        <v>336070</v>
      </c>
      <c r="C48">
        <v>5434</v>
      </c>
      <c r="D48">
        <v>95515</v>
      </c>
      <c r="E48">
        <v>582</v>
      </c>
      <c r="F48">
        <v>4031</v>
      </c>
      <c r="G48">
        <v>188582</v>
      </c>
      <c r="H48">
        <v>25697</v>
      </c>
      <c r="I48">
        <f t="shared" si="0"/>
        <v>341504</v>
      </c>
      <c r="J48">
        <f t="shared" si="1"/>
        <v>96097</v>
      </c>
      <c r="K48">
        <f t="shared" si="2"/>
        <v>214279</v>
      </c>
      <c r="L48">
        <v>118451</v>
      </c>
      <c r="M48">
        <v>100785</v>
      </c>
      <c r="N48">
        <f t="shared" si="3"/>
        <v>669546</v>
      </c>
      <c r="O48" t="str">
        <f t="shared" si="4"/>
        <v>1972Q3</v>
      </c>
      <c r="P48">
        <f t="shared" si="5"/>
        <v>3</v>
      </c>
      <c r="Q48">
        <v>643140</v>
      </c>
      <c r="R48">
        <v>737</v>
      </c>
      <c r="S48">
        <f t="shared" si="6"/>
        <v>-26406</v>
      </c>
    </row>
    <row r="49" spans="1:19" x14ac:dyDescent="0.35">
      <c r="A49" s="1">
        <v>26573</v>
      </c>
      <c r="B49">
        <v>343714</v>
      </c>
      <c r="C49">
        <v>5571</v>
      </c>
      <c r="D49">
        <v>95076</v>
      </c>
      <c r="E49">
        <v>574</v>
      </c>
      <c r="F49">
        <v>3116</v>
      </c>
      <c r="G49">
        <v>191726</v>
      </c>
      <c r="H49">
        <v>24893</v>
      </c>
      <c r="I49">
        <f t="shared" si="0"/>
        <v>349285</v>
      </c>
      <c r="J49">
        <f t="shared" si="1"/>
        <v>95650</v>
      </c>
      <c r="K49">
        <f t="shared" si="2"/>
        <v>216619</v>
      </c>
      <c r="L49">
        <v>129265</v>
      </c>
      <c r="M49">
        <v>105535</v>
      </c>
      <c r="N49">
        <f t="shared" si="3"/>
        <v>685284</v>
      </c>
      <c r="O49" t="str">
        <f t="shared" si="4"/>
        <v>1972Q4</v>
      </c>
      <c r="P49">
        <f t="shared" si="5"/>
        <v>4</v>
      </c>
      <c r="Q49">
        <v>652193</v>
      </c>
      <c r="R49">
        <v>2923</v>
      </c>
      <c r="S49">
        <f t="shared" si="6"/>
        <v>-33091</v>
      </c>
    </row>
    <row r="50" spans="1:19" x14ac:dyDescent="0.35">
      <c r="A50" s="1">
        <v>26665</v>
      </c>
      <c r="B50">
        <v>352962</v>
      </c>
      <c r="C50">
        <v>5374</v>
      </c>
      <c r="D50">
        <v>102135</v>
      </c>
      <c r="E50">
        <v>564</v>
      </c>
      <c r="F50">
        <v>3384</v>
      </c>
      <c r="G50">
        <v>191353</v>
      </c>
      <c r="H50">
        <v>24318</v>
      </c>
      <c r="I50">
        <f t="shared" si="0"/>
        <v>358336</v>
      </c>
      <c r="J50">
        <f t="shared" si="1"/>
        <v>102699</v>
      </c>
      <c r="K50">
        <f t="shared" si="2"/>
        <v>215671</v>
      </c>
      <c r="L50">
        <v>134531</v>
      </c>
      <c r="M50">
        <v>110995</v>
      </c>
      <c r="N50">
        <f t="shared" si="3"/>
        <v>700242</v>
      </c>
      <c r="O50" t="str">
        <f t="shared" si="4"/>
        <v>1973Q1</v>
      </c>
      <c r="P50">
        <f t="shared" si="5"/>
        <v>1</v>
      </c>
      <c r="Q50">
        <v>669066</v>
      </c>
      <c r="R50">
        <v>3113</v>
      </c>
      <c r="S50">
        <f t="shared" si="6"/>
        <v>-31176</v>
      </c>
    </row>
    <row r="51" spans="1:19" x14ac:dyDescent="0.35">
      <c r="A51" s="1">
        <v>26755</v>
      </c>
      <c r="B51">
        <v>355425</v>
      </c>
      <c r="C51">
        <v>5357</v>
      </c>
      <c r="D51">
        <v>104796</v>
      </c>
      <c r="E51">
        <v>620</v>
      </c>
      <c r="F51">
        <v>2586</v>
      </c>
      <c r="G51">
        <v>193435</v>
      </c>
      <c r="H51">
        <v>24385</v>
      </c>
      <c r="I51">
        <f t="shared" si="0"/>
        <v>360782</v>
      </c>
      <c r="J51">
        <f t="shared" si="1"/>
        <v>105416</v>
      </c>
      <c r="K51">
        <f t="shared" si="2"/>
        <v>217820</v>
      </c>
      <c r="L51">
        <v>135630</v>
      </c>
      <c r="M51">
        <v>112105</v>
      </c>
      <c r="N51">
        <f t="shared" si="3"/>
        <v>707543</v>
      </c>
      <c r="O51" t="str">
        <f t="shared" si="4"/>
        <v>1973Q2</v>
      </c>
      <c r="P51">
        <f t="shared" si="5"/>
        <v>2</v>
      </c>
      <c r="Q51">
        <v>676503</v>
      </c>
      <c r="R51">
        <v>3453</v>
      </c>
      <c r="S51">
        <f t="shared" si="6"/>
        <v>-31040</v>
      </c>
    </row>
    <row r="52" spans="1:19" x14ac:dyDescent="0.35">
      <c r="A52" s="1">
        <v>26846</v>
      </c>
      <c r="B52">
        <v>358041</v>
      </c>
      <c r="C52">
        <v>5588</v>
      </c>
      <c r="D52">
        <v>106987</v>
      </c>
      <c r="E52">
        <v>638</v>
      </c>
      <c r="F52">
        <v>7414</v>
      </c>
      <c r="G52">
        <v>194462</v>
      </c>
      <c r="H52">
        <v>24678</v>
      </c>
      <c r="I52">
        <f t="shared" si="0"/>
        <v>363629</v>
      </c>
      <c r="J52">
        <f t="shared" si="1"/>
        <v>107625</v>
      </c>
      <c r="K52">
        <f t="shared" si="2"/>
        <v>219140</v>
      </c>
      <c r="L52">
        <v>128801</v>
      </c>
      <c r="M52">
        <v>113210</v>
      </c>
      <c r="N52">
        <f t="shared" si="3"/>
        <v>705985</v>
      </c>
      <c r="O52" t="str">
        <f t="shared" si="4"/>
        <v>1973Q3</v>
      </c>
      <c r="P52">
        <f t="shared" si="5"/>
        <v>3</v>
      </c>
      <c r="Q52">
        <v>683305</v>
      </c>
      <c r="R52">
        <v>1997</v>
      </c>
      <c r="S52">
        <f t="shared" si="6"/>
        <v>-22680</v>
      </c>
    </row>
    <row r="53" spans="1:19" x14ac:dyDescent="0.35">
      <c r="A53" s="1">
        <v>26938</v>
      </c>
      <c r="B53">
        <v>364379</v>
      </c>
      <c r="C53">
        <v>5866</v>
      </c>
      <c r="D53">
        <v>111967</v>
      </c>
      <c r="E53">
        <v>619</v>
      </c>
      <c r="F53">
        <v>7868</v>
      </c>
      <c r="G53">
        <v>202126</v>
      </c>
      <c r="H53">
        <v>24412</v>
      </c>
      <c r="I53">
        <f t="shared" si="0"/>
        <v>370245</v>
      </c>
      <c r="J53">
        <f t="shared" si="1"/>
        <v>112586</v>
      </c>
      <c r="K53">
        <f t="shared" si="2"/>
        <v>226538</v>
      </c>
      <c r="L53">
        <v>132352</v>
      </c>
      <c r="M53">
        <v>120525</v>
      </c>
      <c r="N53">
        <f t="shared" si="3"/>
        <v>721196</v>
      </c>
      <c r="O53" t="str">
        <f t="shared" si="4"/>
        <v>1973Q4</v>
      </c>
      <c r="P53">
        <f t="shared" si="5"/>
        <v>4</v>
      </c>
      <c r="Q53">
        <v>701566</v>
      </c>
      <c r="R53">
        <v>975</v>
      </c>
      <c r="S53">
        <f t="shared" si="6"/>
        <v>-19630</v>
      </c>
    </row>
    <row r="54" spans="1:19" x14ac:dyDescent="0.35">
      <c r="A54" s="1">
        <v>27030</v>
      </c>
      <c r="B54">
        <v>374470</v>
      </c>
      <c r="C54">
        <v>5926</v>
      </c>
      <c r="D54">
        <v>117304</v>
      </c>
      <c r="E54">
        <v>636</v>
      </c>
      <c r="F54">
        <v>5620</v>
      </c>
      <c r="G54">
        <v>200856</v>
      </c>
      <c r="H54">
        <v>24385</v>
      </c>
      <c r="I54">
        <f t="shared" si="0"/>
        <v>380396</v>
      </c>
      <c r="J54">
        <f t="shared" si="1"/>
        <v>117940</v>
      </c>
      <c r="K54">
        <f t="shared" si="2"/>
        <v>225241</v>
      </c>
      <c r="L54">
        <v>128033</v>
      </c>
      <c r="M54">
        <v>123832</v>
      </c>
      <c r="N54">
        <f t="shared" si="3"/>
        <v>727778</v>
      </c>
      <c r="O54" t="str">
        <f t="shared" si="4"/>
        <v>1974Q1</v>
      </c>
      <c r="P54">
        <f t="shared" si="5"/>
        <v>1</v>
      </c>
      <c r="Q54">
        <v>717777</v>
      </c>
      <c r="R54">
        <v>3439</v>
      </c>
      <c r="S54">
        <f t="shared" si="6"/>
        <v>-10001</v>
      </c>
    </row>
    <row r="55" spans="1:19" x14ac:dyDescent="0.35">
      <c r="A55" s="1">
        <v>27120</v>
      </c>
      <c r="B55">
        <v>376277</v>
      </c>
      <c r="C55">
        <v>6414</v>
      </c>
      <c r="D55">
        <v>112401</v>
      </c>
      <c r="E55">
        <v>654</v>
      </c>
      <c r="F55">
        <v>11823</v>
      </c>
      <c r="G55">
        <v>206307</v>
      </c>
      <c r="H55">
        <v>24457</v>
      </c>
      <c r="I55">
        <f t="shared" si="0"/>
        <v>382691</v>
      </c>
      <c r="J55">
        <f t="shared" si="1"/>
        <v>113055</v>
      </c>
      <c r="K55">
        <f t="shared" si="2"/>
        <v>230764</v>
      </c>
      <c r="L55">
        <v>126650</v>
      </c>
      <c r="M55">
        <v>124955</v>
      </c>
      <c r="N55">
        <f t="shared" si="3"/>
        <v>728205</v>
      </c>
      <c r="O55" t="str">
        <f t="shared" si="4"/>
        <v>1974Q2</v>
      </c>
      <c r="P55">
        <f t="shared" si="5"/>
        <v>2</v>
      </c>
      <c r="Q55">
        <v>718181</v>
      </c>
      <c r="R55">
        <v>3565</v>
      </c>
      <c r="S55">
        <f t="shared" si="6"/>
        <v>-10024</v>
      </c>
    </row>
    <row r="56" spans="1:19" x14ac:dyDescent="0.35">
      <c r="A56" s="1">
        <v>27211</v>
      </c>
      <c r="B56">
        <v>378006</v>
      </c>
      <c r="C56">
        <v>6119</v>
      </c>
      <c r="D56">
        <v>111140</v>
      </c>
      <c r="E56">
        <v>633</v>
      </c>
      <c r="F56">
        <v>10446</v>
      </c>
      <c r="G56">
        <v>209335</v>
      </c>
      <c r="H56">
        <v>25815</v>
      </c>
      <c r="I56">
        <f t="shared" si="0"/>
        <v>384125</v>
      </c>
      <c r="J56">
        <f t="shared" si="1"/>
        <v>111773</v>
      </c>
      <c r="K56">
        <f t="shared" si="2"/>
        <v>235150</v>
      </c>
      <c r="L56">
        <v>128733</v>
      </c>
      <c r="M56">
        <v>126955</v>
      </c>
      <c r="N56">
        <f t="shared" si="3"/>
        <v>732826</v>
      </c>
      <c r="O56" t="str">
        <f t="shared" si="4"/>
        <v>1974Q3</v>
      </c>
      <c r="P56">
        <f t="shared" si="5"/>
        <v>3</v>
      </c>
      <c r="Q56">
        <v>721944</v>
      </c>
      <c r="R56">
        <v>4635</v>
      </c>
      <c r="S56">
        <f t="shared" si="6"/>
        <v>-10882</v>
      </c>
    </row>
    <row r="57" spans="1:19" x14ac:dyDescent="0.35">
      <c r="A57" s="1">
        <v>27303</v>
      </c>
      <c r="B57">
        <v>373504</v>
      </c>
      <c r="C57">
        <v>6162</v>
      </c>
      <c r="D57">
        <v>110424</v>
      </c>
      <c r="E57">
        <v>632</v>
      </c>
      <c r="F57">
        <v>14346</v>
      </c>
      <c r="G57">
        <v>212173</v>
      </c>
      <c r="H57">
        <v>25825</v>
      </c>
      <c r="I57">
        <f t="shared" si="0"/>
        <v>379666</v>
      </c>
      <c r="J57">
        <f t="shared" si="1"/>
        <v>111056</v>
      </c>
      <c r="K57">
        <f t="shared" si="2"/>
        <v>237998</v>
      </c>
      <c r="L57">
        <v>123924</v>
      </c>
      <c r="M57">
        <v>126039</v>
      </c>
      <c r="N57">
        <f t="shared" si="3"/>
        <v>726605</v>
      </c>
      <c r="O57" t="str">
        <f t="shared" si="4"/>
        <v>1974Q4</v>
      </c>
      <c r="P57">
        <f t="shared" si="5"/>
        <v>4</v>
      </c>
      <c r="Q57">
        <v>718628</v>
      </c>
      <c r="R57">
        <v>4480</v>
      </c>
      <c r="S57">
        <f t="shared" si="6"/>
        <v>-7977</v>
      </c>
    </row>
    <row r="58" spans="1:19" x14ac:dyDescent="0.35">
      <c r="A58" s="1">
        <v>27395</v>
      </c>
      <c r="B58">
        <v>381724</v>
      </c>
      <c r="C58">
        <v>6201</v>
      </c>
      <c r="D58">
        <v>111915</v>
      </c>
      <c r="E58">
        <v>599</v>
      </c>
      <c r="F58">
        <v>8995</v>
      </c>
      <c r="G58">
        <v>213934</v>
      </c>
      <c r="H58">
        <v>25661</v>
      </c>
      <c r="I58">
        <f t="shared" si="0"/>
        <v>387925</v>
      </c>
      <c r="J58">
        <f t="shared" si="1"/>
        <v>112514</v>
      </c>
      <c r="K58">
        <f t="shared" si="2"/>
        <v>239595</v>
      </c>
      <c r="L58">
        <v>115565</v>
      </c>
      <c r="M58">
        <v>123140</v>
      </c>
      <c r="N58">
        <f t="shared" si="3"/>
        <v>732459</v>
      </c>
      <c r="O58" t="str">
        <f t="shared" si="4"/>
        <v>1975Q1</v>
      </c>
      <c r="P58">
        <f t="shared" si="5"/>
        <v>1</v>
      </c>
      <c r="Q58">
        <v>729990</v>
      </c>
      <c r="R58">
        <v>3104</v>
      </c>
      <c r="S58">
        <f t="shared" si="6"/>
        <v>-2469</v>
      </c>
    </row>
    <row r="59" spans="1:19" x14ac:dyDescent="0.35">
      <c r="A59" s="1">
        <v>27485</v>
      </c>
      <c r="B59">
        <v>386436</v>
      </c>
      <c r="C59">
        <v>6295</v>
      </c>
      <c r="D59">
        <v>115168</v>
      </c>
      <c r="E59">
        <v>667</v>
      </c>
      <c r="F59">
        <v>2412</v>
      </c>
      <c r="G59">
        <v>221187</v>
      </c>
      <c r="H59">
        <v>26148</v>
      </c>
      <c r="I59">
        <f t="shared" si="0"/>
        <v>392731</v>
      </c>
      <c r="J59">
        <f t="shared" si="1"/>
        <v>115835</v>
      </c>
      <c r="K59">
        <f t="shared" si="2"/>
        <v>247335</v>
      </c>
      <c r="L59">
        <v>116955</v>
      </c>
      <c r="M59">
        <v>120263</v>
      </c>
      <c r="N59">
        <f t="shared" si="3"/>
        <v>752593</v>
      </c>
      <c r="O59" t="str">
        <f t="shared" si="4"/>
        <v>1975Q2</v>
      </c>
      <c r="P59">
        <f t="shared" si="5"/>
        <v>2</v>
      </c>
      <c r="Q59">
        <v>745097</v>
      </c>
      <c r="R59">
        <v>1618</v>
      </c>
      <c r="S59">
        <f t="shared" si="6"/>
        <v>-7496</v>
      </c>
    </row>
    <row r="60" spans="1:19" x14ac:dyDescent="0.35">
      <c r="A60" s="1">
        <v>27576</v>
      </c>
      <c r="B60">
        <v>393340</v>
      </c>
      <c r="C60">
        <v>6475</v>
      </c>
      <c r="D60">
        <v>121273</v>
      </c>
      <c r="E60">
        <v>697</v>
      </c>
      <c r="F60">
        <v>909</v>
      </c>
      <c r="G60">
        <v>223747</v>
      </c>
      <c r="H60">
        <v>25661</v>
      </c>
      <c r="I60">
        <f t="shared" si="0"/>
        <v>399815</v>
      </c>
      <c r="J60">
        <f t="shared" si="1"/>
        <v>121970</v>
      </c>
      <c r="K60">
        <f t="shared" si="2"/>
        <v>249408</v>
      </c>
      <c r="L60">
        <v>116570</v>
      </c>
      <c r="M60">
        <v>119983</v>
      </c>
      <c r="N60">
        <f t="shared" si="3"/>
        <v>767780</v>
      </c>
      <c r="O60" t="str">
        <f t="shared" si="4"/>
        <v>1975Q3</v>
      </c>
      <c r="P60">
        <f t="shared" si="5"/>
        <v>3</v>
      </c>
      <c r="Q60">
        <v>761289</v>
      </c>
      <c r="R60">
        <v>2073</v>
      </c>
      <c r="S60">
        <f t="shared" si="6"/>
        <v>-6491</v>
      </c>
    </row>
    <row r="61" spans="1:19" x14ac:dyDescent="0.35">
      <c r="A61" s="1">
        <v>27668</v>
      </c>
      <c r="B61">
        <v>400070</v>
      </c>
      <c r="C61">
        <v>6514</v>
      </c>
      <c r="D61">
        <v>123525</v>
      </c>
      <c r="E61">
        <v>735</v>
      </c>
      <c r="F61">
        <v>2001</v>
      </c>
      <c r="G61">
        <v>223544</v>
      </c>
      <c r="H61">
        <v>25815</v>
      </c>
      <c r="I61">
        <f t="shared" si="0"/>
        <v>406584</v>
      </c>
      <c r="J61">
        <f t="shared" si="1"/>
        <v>124260</v>
      </c>
      <c r="K61">
        <f t="shared" si="2"/>
        <v>249359</v>
      </c>
      <c r="L61">
        <v>116207</v>
      </c>
      <c r="M61">
        <v>121978</v>
      </c>
      <c r="N61">
        <f t="shared" si="3"/>
        <v>774432</v>
      </c>
      <c r="O61" t="str">
        <f t="shared" si="4"/>
        <v>1975Q4</v>
      </c>
      <c r="P61">
        <f t="shared" si="5"/>
        <v>4</v>
      </c>
      <c r="Q61">
        <v>771083</v>
      </c>
      <c r="R61">
        <v>1392</v>
      </c>
      <c r="S61">
        <f t="shared" si="6"/>
        <v>-3349</v>
      </c>
    </row>
    <row r="62" spans="1:19" x14ac:dyDescent="0.35">
      <c r="A62" s="1">
        <v>27760</v>
      </c>
      <c r="B62">
        <v>399815</v>
      </c>
      <c r="C62">
        <v>6672</v>
      </c>
      <c r="D62">
        <v>124970</v>
      </c>
      <c r="E62">
        <v>721</v>
      </c>
      <c r="F62">
        <v>8454</v>
      </c>
      <c r="G62">
        <v>222615</v>
      </c>
      <c r="H62">
        <v>25954</v>
      </c>
      <c r="I62">
        <f t="shared" si="0"/>
        <v>406487</v>
      </c>
      <c r="J62">
        <f t="shared" si="1"/>
        <v>125691</v>
      </c>
      <c r="K62">
        <f t="shared" si="2"/>
        <v>248569</v>
      </c>
      <c r="L62">
        <v>119853</v>
      </c>
      <c r="M62">
        <v>126821</v>
      </c>
      <c r="N62">
        <f t="shared" si="3"/>
        <v>773779</v>
      </c>
      <c r="O62" t="str">
        <f t="shared" si="4"/>
        <v>1976Q1</v>
      </c>
      <c r="P62">
        <f t="shared" si="5"/>
        <v>1</v>
      </c>
      <c r="Q62">
        <v>772265</v>
      </c>
      <c r="R62">
        <v>5462</v>
      </c>
      <c r="S62">
        <f t="shared" si="6"/>
        <v>-1514</v>
      </c>
    </row>
    <row r="63" spans="1:19" x14ac:dyDescent="0.35">
      <c r="A63" s="1">
        <v>27851</v>
      </c>
      <c r="B63">
        <v>410171</v>
      </c>
      <c r="C63">
        <v>6869</v>
      </c>
      <c r="D63">
        <v>130098</v>
      </c>
      <c r="E63">
        <v>765</v>
      </c>
      <c r="F63">
        <v>6091</v>
      </c>
      <c r="G63">
        <v>225182</v>
      </c>
      <c r="H63">
        <v>25897</v>
      </c>
      <c r="I63">
        <f t="shared" si="0"/>
        <v>417040</v>
      </c>
      <c r="J63">
        <f t="shared" si="1"/>
        <v>130863</v>
      </c>
      <c r="K63">
        <f t="shared" si="2"/>
        <v>251079</v>
      </c>
      <c r="L63">
        <v>126696</v>
      </c>
      <c r="M63">
        <v>131548</v>
      </c>
      <c r="N63">
        <f t="shared" si="3"/>
        <v>794130</v>
      </c>
      <c r="O63" t="str">
        <f t="shared" si="4"/>
        <v>1976Q2</v>
      </c>
      <c r="P63">
        <f t="shared" si="5"/>
        <v>2</v>
      </c>
      <c r="Q63">
        <v>791292</v>
      </c>
      <c r="R63">
        <v>3174</v>
      </c>
      <c r="S63">
        <f t="shared" si="6"/>
        <v>-2838</v>
      </c>
    </row>
    <row r="64" spans="1:19" x14ac:dyDescent="0.35">
      <c r="A64" s="1">
        <v>27942</v>
      </c>
      <c r="B64">
        <v>411714</v>
      </c>
      <c r="C64">
        <v>6925</v>
      </c>
      <c r="D64">
        <v>126967</v>
      </c>
      <c r="E64">
        <v>769</v>
      </c>
      <c r="F64">
        <v>7691</v>
      </c>
      <c r="G64">
        <v>224016</v>
      </c>
      <c r="H64">
        <v>25093</v>
      </c>
      <c r="I64">
        <f t="shared" si="0"/>
        <v>418639</v>
      </c>
      <c r="J64">
        <f t="shared" si="1"/>
        <v>127736</v>
      </c>
      <c r="K64">
        <f t="shared" si="2"/>
        <v>249109</v>
      </c>
      <c r="L64">
        <v>129643</v>
      </c>
      <c r="M64">
        <v>128553</v>
      </c>
      <c r="N64">
        <f t="shared" si="3"/>
        <v>796574</v>
      </c>
      <c r="O64" t="str">
        <f t="shared" si="4"/>
        <v>1976Q3</v>
      </c>
      <c r="P64">
        <f t="shared" si="5"/>
        <v>3</v>
      </c>
      <c r="Q64">
        <v>787222</v>
      </c>
      <c r="R64">
        <v>-144</v>
      </c>
      <c r="S64">
        <f t="shared" si="6"/>
        <v>-9352</v>
      </c>
    </row>
    <row r="65" spans="1:19" x14ac:dyDescent="0.35">
      <c r="A65" s="1">
        <v>28034</v>
      </c>
      <c r="B65">
        <v>420155</v>
      </c>
      <c r="C65">
        <v>7062</v>
      </c>
      <c r="D65">
        <v>127800</v>
      </c>
      <c r="E65">
        <v>711</v>
      </c>
      <c r="F65">
        <v>3074</v>
      </c>
      <c r="G65">
        <v>226494</v>
      </c>
      <c r="H65">
        <v>25236</v>
      </c>
      <c r="I65">
        <f t="shared" si="0"/>
        <v>427217</v>
      </c>
      <c r="J65">
        <f t="shared" si="1"/>
        <v>128511</v>
      </c>
      <c r="K65">
        <f t="shared" si="2"/>
        <v>251730</v>
      </c>
      <c r="L65">
        <v>125529</v>
      </c>
      <c r="M65">
        <v>128509</v>
      </c>
      <c r="N65">
        <f t="shared" si="3"/>
        <v>804478</v>
      </c>
      <c r="O65" t="str">
        <f t="shared" si="4"/>
        <v>1976Q4</v>
      </c>
      <c r="P65">
        <f t="shared" si="5"/>
        <v>4</v>
      </c>
      <c r="Q65">
        <v>798993</v>
      </c>
      <c r="R65">
        <v>1760</v>
      </c>
      <c r="S65">
        <f t="shared" si="6"/>
        <v>-5485</v>
      </c>
    </row>
    <row r="66" spans="1:19" x14ac:dyDescent="0.35">
      <c r="A66" s="1">
        <v>28126</v>
      </c>
      <c r="B66">
        <v>418612</v>
      </c>
      <c r="C66">
        <v>7083</v>
      </c>
      <c r="D66">
        <v>129725</v>
      </c>
      <c r="E66">
        <v>742</v>
      </c>
      <c r="F66">
        <v>5926</v>
      </c>
      <c r="G66">
        <v>230653</v>
      </c>
      <c r="H66">
        <v>25564</v>
      </c>
      <c r="I66">
        <f t="shared" si="0"/>
        <v>425695</v>
      </c>
      <c r="J66">
        <f t="shared" si="1"/>
        <v>130467</v>
      </c>
      <c r="K66">
        <f t="shared" si="2"/>
        <v>256217</v>
      </c>
      <c r="L66">
        <v>130736</v>
      </c>
      <c r="M66">
        <v>128653</v>
      </c>
      <c r="N66">
        <f t="shared" si="3"/>
        <v>814462</v>
      </c>
      <c r="O66" t="str">
        <f t="shared" si="4"/>
        <v>1977Q1</v>
      </c>
      <c r="P66">
        <f t="shared" si="5"/>
        <v>1</v>
      </c>
      <c r="Q66">
        <v>803498</v>
      </c>
      <c r="R66">
        <v>-1014</v>
      </c>
      <c r="S66">
        <f t="shared" si="6"/>
        <v>-10964</v>
      </c>
    </row>
    <row r="67" spans="1:19" x14ac:dyDescent="0.35">
      <c r="A67" s="1">
        <v>28216</v>
      </c>
      <c r="B67">
        <v>417567</v>
      </c>
      <c r="C67">
        <v>7220</v>
      </c>
      <c r="D67">
        <v>130048</v>
      </c>
      <c r="E67">
        <v>796</v>
      </c>
      <c r="F67">
        <v>5767</v>
      </c>
      <c r="G67">
        <v>235418</v>
      </c>
      <c r="H67">
        <v>26347</v>
      </c>
      <c r="I67">
        <f t="shared" ref="I67:I130" si="7">B67+C67</f>
        <v>424787</v>
      </c>
      <c r="J67">
        <f t="shared" ref="J67:J130" si="8">D67+E67</f>
        <v>130844</v>
      </c>
      <c r="K67">
        <f t="shared" ref="K67:K130" si="9">G67+H67</f>
        <v>261765</v>
      </c>
      <c r="L67">
        <v>133319</v>
      </c>
      <c r="M67">
        <v>130855</v>
      </c>
      <c r="N67">
        <f t="shared" ref="N67:N130" si="10">SUM(I67:L67)-M67</f>
        <v>819860</v>
      </c>
      <c r="O67" t="str">
        <f t="shared" ref="O67:O130" si="11">TEXT(A67,"yyyy") &amp; "Q" &amp; P67</f>
        <v>1977Q2</v>
      </c>
      <c r="P67">
        <f t="shared" ref="P67:P130" si="12">ROUNDUP(MONTH(A67)/3,0)</f>
        <v>2</v>
      </c>
      <c r="Q67">
        <v>807762</v>
      </c>
      <c r="R67">
        <v>-1673</v>
      </c>
      <c r="S67">
        <f t="shared" ref="S67:S130" si="13">Q67-N67</f>
        <v>-12098</v>
      </c>
    </row>
    <row r="68" spans="1:19" x14ac:dyDescent="0.35">
      <c r="A68" s="1">
        <v>28307</v>
      </c>
      <c r="B68">
        <v>424081</v>
      </c>
      <c r="C68">
        <v>7062</v>
      </c>
      <c r="D68">
        <v>131417</v>
      </c>
      <c r="E68">
        <v>790</v>
      </c>
      <c r="F68">
        <v>2118</v>
      </c>
      <c r="G68">
        <v>233702</v>
      </c>
      <c r="H68">
        <v>26726</v>
      </c>
      <c r="I68">
        <f t="shared" si="7"/>
        <v>431143</v>
      </c>
      <c r="J68">
        <f t="shared" si="8"/>
        <v>132207</v>
      </c>
      <c r="K68">
        <f t="shared" si="9"/>
        <v>260428</v>
      </c>
      <c r="L68">
        <v>134134</v>
      </c>
      <c r="M68">
        <v>128259</v>
      </c>
      <c r="N68">
        <f t="shared" si="10"/>
        <v>829653</v>
      </c>
      <c r="O68" t="str">
        <f t="shared" si="11"/>
        <v>1977Q3</v>
      </c>
      <c r="P68">
        <f t="shared" si="12"/>
        <v>3</v>
      </c>
      <c r="Q68">
        <v>814974</v>
      </c>
      <c r="R68">
        <v>-4251</v>
      </c>
      <c r="S68">
        <f t="shared" si="13"/>
        <v>-14679</v>
      </c>
    </row>
    <row r="69" spans="1:19" x14ac:dyDescent="0.35">
      <c r="A69" s="1">
        <v>28399</v>
      </c>
      <c r="B69">
        <v>428064</v>
      </c>
      <c r="C69">
        <v>7041</v>
      </c>
      <c r="D69">
        <v>129874</v>
      </c>
      <c r="E69">
        <v>783</v>
      </c>
      <c r="F69">
        <v>2609</v>
      </c>
      <c r="G69">
        <v>235465</v>
      </c>
      <c r="H69">
        <v>27095</v>
      </c>
      <c r="I69">
        <f t="shared" si="7"/>
        <v>435105</v>
      </c>
      <c r="J69">
        <f t="shared" si="8"/>
        <v>130657</v>
      </c>
      <c r="K69">
        <f t="shared" si="9"/>
        <v>262560</v>
      </c>
      <c r="L69">
        <v>135970</v>
      </c>
      <c r="M69">
        <v>124899</v>
      </c>
      <c r="N69">
        <f t="shared" si="10"/>
        <v>839393</v>
      </c>
      <c r="O69" t="str">
        <f t="shared" si="11"/>
        <v>1977Q4</v>
      </c>
      <c r="P69">
        <f t="shared" si="12"/>
        <v>4</v>
      </c>
      <c r="Q69">
        <v>818997</v>
      </c>
      <c r="R69">
        <v>-4127</v>
      </c>
      <c r="S69">
        <f t="shared" si="13"/>
        <v>-20396</v>
      </c>
    </row>
    <row r="70" spans="1:19" x14ac:dyDescent="0.35">
      <c r="A70" s="1">
        <v>28491</v>
      </c>
      <c r="B70">
        <v>431165</v>
      </c>
      <c r="C70">
        <v>7144</v>
      </c>
      <c r="D70">
        <v>129976</v>
      </c>
      <c r="E70">
        <v>764</v>
      </c>
      <c r="F70">
        <v>-1052</v>
      </c>
      <c r="G70">
        <v>234947</v>
      </c>
      <c r="H70">
        <v>26434</v>
      </c>
      <c r="I70">
        <f t="shared" si="7"/>
        <v>438309</v>
      </c>
      <c r="J70">
        <f t="shared" si="8"/>
        <v>130740</v>
      </c>
      <c r="K70">
        <f t="shared" si="9"/>
        <v>261381</v>
      </c>
      <c r="L70">
        <v>141636</v>
      </c>
      <c r="M70">
        <v>124553</v>
      </c>
      <c r="N70">
        <f t="shared" si="10"/>
        <v>847513</v>
      </c>
      <c r="O70" t="str">
        <f t="shared" si="11"/>
        <v>1978Q1</v>
      </c>
      <c r="P70">
        <f t="shared" si="12"/>
        <v>1</v>
      </c>
      <c r="Q70">
        <v>821192</v>
      </c>
      <c r="R70">
        <v>-3320</v>
      </c>
      <c r="S70">
        <f t="shared" si="13"/>
        <v>-26321</v>
      </c>
    </row>
    <row r="71" spans="1:19" x14ac:dyDescent="0.35">
      <c r="A71" s="1">
        <v>28581</v>
      </c>
      <c r="B71">
        <v>434052</v>
      </c>
      <c r="C71">
        <v>7200</v>
      </c>
      <c r="D71">
        <v>133531</v>
      </c>
      <c r="E71">
        <v>833</v>
      </c>
      <c r="F71">
        <v>-1201</v>
      </c>
      <c r="G71">
        <v>236487</v>
      </c>
      <c r="H71">
        <v>26552</v>
      </c>
      <c r="I71">
        <f t="shared" si="7"/>
        <v>441252</v>
      </c>
      <c r="J71">
        <f t="shared" si="8"/>
        <v>134364</v>
      </c>
      <c r="K71">
        <f t="shared" si="9"/>
        <v>263039</v>
      </c>
      <c r="L71">
        <v>146118</v>
      </c>
      <c r="M71">
        <v>132764</v>
      </c>
      <c r="N71">
        <f t="shared" si="10"/>
        <v>852009</v>
      </c>
      <c r="O71" t="str">
        <f t="shared" si="11"/>
        <v>1978Q2</v>
      </c>
      <c r="P71">
        <f t="shared" si="12"/>
        <v>2</v>
      </c>
      <c r="Q71">
        <v>829882</v>
      </c>
      <c r="R71">
        <v>-122</v>
      </c>
      <c r="S71">
        <f t="shared" si="13"/>
        <v>-22127</v>
      </c>
    </row>
    <row r="72" spans="1:19" x14ac:dyDescent="0.35">
      <c r="A72" s="1">
        <v>28672</v>
      </c>
      <c r="B72">
        <v>436086</v>
      </c>
      <c r="C72">
        <v>7436</v>
      </c>
      <c r="D72">
        <v>133940</v>
      </c>
      <c r="E72">
        <v>811</v>
      </c>
      <c r="F72">
        <v>1495</v>
      </c>
      <c r="G72">
        <v>236856</v>
      </c>
      <c r="H72">
        <v>26035</v>
      </c>
      <c r="I72">
        <f t="shared" si="7"/>
        <v>443522</v>
      </c>
      <c r="J72">
        <f t="shared" si="8"/>
        <v>134751</v>
      </c>
      <c r="K72">
        <f t="shared" si="9"/>
        <v>262891</v>
      </c>
      <c r="L72">
        <v>148443</v>
      </c>
      <c r="M72">
        <v>132943</v>
      </c>
      <c r="N72">
        <f t="shared" si="10"/>
        <v>856664</v>
      </c>
      <c r="O72" t="str">
        <f t="shared" si="11"/>
        <v>1978Q3</v>
      </c>
      <c r="P72">
        <f t="shared" si="12"/>
        <v>3</v>
      </c>
      <c r="Q72">
        <v>832373</v>
      </c>
      <c r="R72">
        <v>-1849</v>
      </c>
      <c r="S72">
        <f t="shared" si="13"/>
        <v>-24291</v>
      </c>
    </row>
    <row r="73" spans="1:19" x14ac:dyDescent="0.35">
      <c r="A73" s="1">
        <v>28764</v>
      </c>
      <c r="B73">
        <v>437306</v>
      </c>
      <c r="C73">
        <v>7616</v>
      </c>
      <c r="D73">
        <v>135666</v>
      </c>
      <c r="E73">
        <v>797</v>
      </c>
      <c r="F73">
        <v>4836</v>
      </c>
      <c r="G73">
        <v>237267</v>
      </c>
      <c r="H73">
        <v>26393</v>
      </c>
      <c r="I73">
        <f t="shared" si="7"/>
        <v>444922</v>
      </c>
      <c r="J73">
        <f t="shared" si="8"/>
        <v>136463</v>
      </c>
      <c r="K73">
        <f t="shared" si="9"/>
        <v>263660</v>
      </c>
      <c r="L73">
        <v>151394</v>
      </c>
      <c r="M73">
        <v>139601</v>
      </c>
      <c r="N73">
        <f t="shared" si="10"/>
        <v>856838</v>
      </c>
      <c r="O73" t="str">
        <f t="shared" si="11"/>
        <v>1978Q4</v>
      </c>
      <c r="P73">
        <f t="shared" si="12"/>
        <v>4</v>
      </c>
      <c r="Q73">
        <v>836624</v>
      </c>
      <c r="R73">
        <v>2464</v>
      </c>
      <c r="S73">
        <f t="shared" si="13"/>
        <v>-20214</v>
      </c>
    </row>
    <row r="74" spans="1:19" x14ac:dyDescent="0.35">
      <c r="A74" s="1">
        <v>28856</v>
      </c>
      <c r="B74">
        <v>443397</v>
      </c>
      <c r="C74">
        <v>7890</v>
      </c>
      <c r="D74">
        <v>137883</v>
      </c>
      <c r="E74">
        <v>804</v>
      </c>
      <c r="F74">
        <v>5805</v>
      </c>
      <c r="G74">
        <v>236720</v>
      </c>
      <c r="H74">
        <v>26086</v>
      </c>
      <c r="I74">
        <f t="shared" si="7"/>
        <v>451287</v>
      </c>
      <c r="J74">
        <f t="shared" si="8"/>
        <v>138687</v>
      </c>
      <c r="K74">
        <f t="shared" si="9"/>
        <v>262806</v>
      </c>
      <c r="L74">
        <v>154902</v>
      </c>
      <c r="M74">
        <v>140935</v>
      </c>
      <c r="N74">
        <f t="shared" si="10"/>
        <v>866747</v>
      </c>
      <c r="O74" t="str">
        <f t="shared" si="11"/>
        <v>1979Q1</v>
      </c>
      <c r="P74">
        <f t="shared" si="12"/>
        <v>1</v>
      </c>
      <c r="Q74">
        <v>845055</v>
      </c>
      <c r="R74">
        <v>-3154</v>
      </c>
      <c r="S74">
        <f t="shared" si="13"/>
        <v>-21692</v>
      </c>
    </row>
    <row r="75" spans="1:19" x14ac:dyDescent="0.35">
      <c r="A75" s="1">
        <v>28946</v>
      </c>
      <c r="B75">
        <v>443408</v>
      </c>
      <c r="C75">
        <v>8301</v>
      </c>
      <c r="D75">
        <v>139838</v>
      </c>
      <c r="E75">
        <v>875</v>
      </c>
      <c r="F75">
        <v>15781</v>
      </c>
      <c r="G75">
        <v>240017</v>
      </c>
      <c r="H75">
        <v>25650</v>
      </c>
      <c r="I75">
        <f t="shared" si="7"/>
        <v>451709</v>
      </c>
      <c r="J75">
        <f t="shared" si="8"/>
        <v>140713</v>
      </c>
      <c r="K75">
        <f t="shared" si="9"/>
        <v>265667</v>
      </c>
      <c r="L75">
        <v>148685</v>
      </c>
      <c r="M75">
        <v>139588</v>
      </c>
      <c r="N75">
        <f t="shared" si="10"/>
        <v>867186</v>
      </c>
      <c r="O75" t="str">
        <f t="shared" si="11"/>
        <v>1979Q2</v>
      </c>
      <c r="P75">
        <f t="shared" si="12"/>
        <v>2</v>
      </c>
      <c r="Q75">
        <v>850025</v>
      </c>
      <c r="R75">
        <v>-3249</v>
      </c>
      <c r="S75">
        <f t="shared" si="13"/>
        <v>-17161</v>
      </c>
    </row>
    <row r="76" spans="1:19" x14ac:dyDescent="0.35">
      <c r="A76" s="1">
        <v>29037</v>
      </c>
      <c r="B76">
        <v>444640</v>
      </c>
      <c r="C76">
        <v>8104</v>
      </c>
      <c r="D76">
        <v>148456</v>
      </c>
      <c r="E76">
        <v>915</v>
      </c>
      <c r="F76">
        <v>6829</v>
      </c>
      <c r="G76">
        <v>238029</v>
      </c>
      <c r="H76">
        <v>25722</v>
      </c>
      <c r="I76">
        <f t="shared" si="7"/>
        <v>452744</v>
      </c>
      <c r="J76">
        <f t="shared" si="8"/>
        <v>149371</v>
      </c>
      <c r="K76">
        <f t="shared" si="9"/>
        <v>263751</v>
      </c>
      <c r="L76">
        <v>153882</v>
      </c>
      <c r="M76">
        <v>142496</v>
      </c>
      <c r="N76">
        <f t="shared" si="10"/>
        <v>877252</v>
      </c>
      <c r="O76" t="str">
        <f t="shared" si="11"/>
        <v>1979Q3</v>
      </c>
      <c r="P76">
        <f t="shared" si="12"/>
        <v>3</v>
      </c>
      <c r="Q76">
        <v>859897</v>
      </c>
      <c r="R76">
        <v>2881</v>
      </c>
      <c r="S76">
        <f t="shared" si="13"/>
        <v>-17355</v>
      </c>
    </row>
    <row r="77" spans="1:19" x14ac:dyDescent="0.35">
      <c r="A77" s="1">
        <v>29129</v>
      </c>
      <c r="B77">
        <v>445758</v>
      </c>
      <c r="C77">
        <v>8301</v>
      </c>
      <c r="D77">
        <v>149446</v>
      </c>
      <c r="E77">
        <v>904</v>
      </c>
      <c r="F77">
        <v>12129</v>
      </c>
      <c r="G77">
        <v>239613</v>
      </c>
      <c r="H77">
        <v>25645</v>
      </c>
      <c r="I77">
        <f t="shared" si="7"/>
        <v>454059</v>
      </c>
      <c r="J77">
        <f t="shared" si="8"/>
        <v>150350</v>
      </c>
      <c r="K77">
        <f t="shared" si="9"/>
        <v>265258</v>
      </c>
      <c r="L77">
        <v>152546</v>
      </c>
      <c r="M77">
        <v>143689</v>
      </c>
      <c r="N77">
        <f t="shared" si="10"/>
        <v>878524</v>
      </c>
      <c r="O77" t="str">
        <f t="shared" si="11"/>
        <v>1979Q4</v>
      </c>
      <c r="P77">
        <f t="shared" si="12"/>
        <v>4</v>
      </c>
      <c r="Q77">
        <v>863582</v>
      </c>
      <c r="R77">
        <v>1311</v>
      </c>
      <c r="S77">
        <f t="shared" si="13"/>
        <v>-14942</v>
      </c>
    </row>
    <row r="78" spans="1:19" x14ac:dyDescent="0.35">
      <c r="A78" s="1">
        <v>29221</v>
      </c>
      <c r="B78">
        <v>448668</v>
      </c>
      <c r="C78">
        <v>8468</v>
      </c>
      <c r="D78">
        <v>150642</v>
      </c>
      <c r="E78">
        <v>894</v>
      </c>
      <c r="F78">
        <v>3472</v>
      </c>
      <c r="G78">
        <v>241143</v>
      </c>
      <c r="H78">
        <v>26649</v>
      </c>
      <c r="I78">
        <f t="shared" si="7"/>
        <v>457136</v>
      </c>
      <c r="J78">
        <f t="shared" si="8"/>
        <v>151536</v>
      </c>
      <c r="K78">
        <f t="shared" si="9"/>
        <v>267792</v>
      </c>
      <c r="L78">
        <v>156948</v>
      </c>
      <c r="M78">
        <v>141513</v>
      </c>
      <c r="N78">
        <f t="shared" si="10"/>
        <v>891899</v>
      </c>
      <c r="O78" t="str">
        <f t="shared" si="11"/>
        <v>1980Q1</v>
      </c>
      <c r="P78">
        <f t="shared" si="12"/>
        <v>1</v>
      </c>
      <c r="Q78">
        <v>870572</v>
      </c>
      <c r="R78">
        <v>2278</v>
      </c>
      <c r="S78">
        <f t="shared" si="13"/>
        <v>-21327</v>
      </c>
    </row>
    <row r="79" spans="1:19" x14ac:dyDescent="0.35">
      <c r="A79" s="1">
        <v>29312</v>
      </c>
      <c r="B79">
        <v>446922</v>
      </c>
      <c r="C79">
        <v>8361</v>
      </c>
      <c r="D79">
        <v>145753</v>
      </c>
      <c r="E79">
        <v>928</v>
      </c>
      <c r="F79">
        <v>9506</v>
      </c>
      <c r="G79">
        <v>244202</v>
      </c>
      <c r="H79">
        <v>27064</v>
      </c>
      <c r="I79">
        <f t="shared" si="7"/>
        <v>455283</v>
      </c>
      <c r="J79">
        <f t="shared" si="8"/>
        <v>146681</v>
      </c>
      <c r="K79">
        <f t="shared" si="9"/>
        <v>271266</v>
      </c>
      <c r="L79">
        <v>150399</v>
      </c>
      <c r="M79">
        <v>136109</v>
      </c>
      <c r="N79">
        <f t="shared" si="10"/>
        <v>887520</v>
      </c>
      <c r="O79" t="str">
        <f t="shared" si="11"/>
        <v>1980Q2</v>
      </c>
      <c r="P79">
        <f t="shared" si="12"/>
        <v>2</v>
      </c>
      <c r="Q79">
        <v>865802</v>
      </c>
      <c r="R79">
        <v>-17</v>
      </c>
      <c r="S79">
        <f t="shared" si="13"/>
        <v>-21718</v>
      </c>
    </row>
    <row r="80" spans="1:19" x14ac:dyDescent="0.35">
      <c r="A80" s="1">
        <v>29403</v>
      </c>
      <c r="B80">
        <v>454577</v>
      </c>
      <c r="C80">
        <v>8451</v>
      </c>
      <c r="D80">
        <v>152511</v>
      </c>
      <c r="E80">
        <v>950</v>
      </c>
      <c r="F80">
        <v>-9589</v>
      </c>
      <c r="G80">
        <v>247679</v>
      </c>
      <c r="H80">
        <v>27576</v>
      </c>
      <c r="I80">
        <f t="shared" si="7"/>
        <v>463028</v>
      </c>
      <c r="J80">
        <f t="shared" si="8"/>
        <v>153461</v>
      </c>
      <c r="K80">
        <f t="shared" si="9"/>
        <v>275255</v>
      </c>
      <c r="L80">
        <v>151273</v>
      </c>
      <c r="M80">
        <v>131451</v>
      </c>
      <c r="N80">
        <f t="shared" si="10"/>
        <v>911566</v>
      </c>
      <c r="O80" t="str">
        <f t="shared" si="11"/>
        <v>1980Q3</v>
      </c>
      <c r="P80">
        <f t="shared" si="12"/>
        <v>3</v>
      </c>
      <c r="Q80">
        <v>885106</v>
      </c>
      <c r="R80">
        <v>-3300</v>
      </c>
      <c r="S80">
        <f t="shared" si="13"/>
        <v>-26460</v>
      </c>
    </row>
    <row r="81" spans="1:19" x14ac:dyDescent="0.35">
      <c r="A81" s="1">
        <v>29495</v>
      </c>
      <c r="B81">
        <v>457153</v>
      </c>
      <c r="C81">
        <v>8922</v>
      </c>
      <c r="D81">
        <v>157394</v>
      </c>
      <c r="E81">
        <v>970</v>
      </c>
      <c r="F81">
        <v>-4486</v>
      </c>
      <c r="G81">
        <v>246671</v>
      </c>
      <c r="H81">
        <v>27791</v>
      </c>
      <c r="I81">
        <f t="shared" si="7"/>
        <v>466075</v>
      </c>
      <c r="J81">
        <f t="shared" si="8"/>
        <v>158364</v>
      </c>
      <c r="K81">
        <f t="shared" si="9"/>
        <v>274462</v>
      </c>
      <c r="L81">
        <v>158001</v>
      </c>
      <c r="M81">
        <v>139916</v>
      </c>
      <c r="N81">
        <f t="shared" si="10"/>
        <v>916986</v>
      </c>
      <c r="O81" t="str">
        <f t="shared" si="11"/>
        <v>1980Q4</v>
      </c>
      <c r="P81">
        <f t="shared" si="12"/>
        <v>4</v>
      </c>
      <c r="Q81">
        <v>893549</v>
      </c>
      <c r="R81">
        <v>-2699</v>
      </c>
      <c r="S81">
        <f t="shared" si="13"/>
        <v>-23437</v>
      </c>
    </row>
    <row r="82" spans="1:19" x14ac:dyDescent="0.35">
      <c r="A82" s="1">
        <v>29587</v>
      </c>
      <c r="B82">
        <v>457893</v>
      </c>
      <c r="C82">
        <v>9273</v>
      </c>
      <c r="D82">
        <v>166419</v>
      </c>
      <c r="E82">
        <v>997</v>
      </c>
      <c r="F82">
        <v>3404</v>
      </c>
      <c r="G82">
        <v>247790</v>
      </c>
      <c r="H82">
        <v>27719</v>
      </c>
      <c r="I82">
        <f t="shared" si="7"/>
        <v>467166</v>
      </c>
      <c r="J82">
        <f t="shared" si="8"/>
        <v>167416</v>
      </c>
      <c r="K82">
        <f t="shared" si="9"/>
        <v>275509</v>
      </c>
      <c r="L82">
        <v>155166</v>
      </c>
      <c r="M82">
        <v>138675</v>
      </c>
      <c r="N82">
        <f t="shared" si="10"/>
        <v>926582</v>
      </c>
      <c r="O82" t="str">
        <f t="shared" si="11"/>
        <v>1981Q1</v>
      </c>
      <c r="P82">
        <f t="shared" si="12"/>
        <v>1</v>
      </c>
      <c r="Q82">
        <v>906267</v>
      </c>
      <c r="R82">
        <v>-3567</v>
      </c>
      <c r="S82">
        <f t="shared" si="13"/>
        <v>-20315</v>
      </c>
    </row>
    <row r="83" spans="1:19" x14ac:dyDescent="0.35">
      <c r="A83" s="1">
        <v>29677</v>
      </c>
      <c r="B83">
        <v>457459</v>
      </c>
      <c r="C83">
        <v>9080</v>
      </c>
      <c r="D83">
        <v>171005</v>
      </c>
      <c r="E83">
        <v>1065</v>
      </c>
      <c r="F83">
        <v>11452</v>
      </c>
      <c r="G83">
        <v>247312</v>
      </c>
      <c r="H83">
        <v>28301</v>
      </c>
      <c r="I83">
        <f t="shared" si="7"/>
        <v>466539</v>
      </c>
      <c r="J83">
        <f t="shared" si="8"/>
        <v>172070</v>
      </c>
      <c r="K83">
        <f t="shared" si="9"/>
        <v>275613</v>
      </c>
      <c r="L83">
        <v>159437</v>
      </c>
      <c r="M83">
        <v>147403</v>
      </c>
      <c r="N83">
        <f t="shared" si="10"/>
        <v>926256</v>
      </c>
      <c r="O83" t="str">
        <f t="shared" si="11"/>
        <v>1981Q2</v>
      </c>
      <c r="P83">
        <f t="shared" si="12"/>
        <v>2</v>
      </c>
      <c r="Q83">
        <v>911326</v>
      </c>
      <c r="R83">
        <v>-2221</v>
      </c>
      <c r="S83">
        <f t="shared" si="13"/>
        <v>-14930</v>
      </c>
    </row>
    <row r="84" spans="1:19" x14ac:dyDescent="0.35">
      <c r="A84" s="1">
        <v>29768</v>
      </c>
      <c r="B84">
        <v>455028</v>
      </c>
      <c r="C84">
        <v>8904</v>
      </c>
      <c r="D84">
        <v>165762</v>
      </c>
      <c r="E84">
        <v>1127</v>
      </c>
      <c r="F84">
        <v>2293</v>
      </c>
      <c r="G84">
        <v>250330</v>
      </c>
      <c r="H84">
        <v>28652</v>
      </c>
      <c r="I84">
        <f t="shared" si="7"/>
        <v>463932</v>
      </c>
      <c r="J84">
        <f t="shared" si="8"/>
        <v>166889</v>
      </c>
      <c r="K84">
        <f t="shared" si="9"/>
        <v>278982</v>
      </c>
      <c r="L84">
        <v>155706</v>
      </c>
      <c r="M84">
        <v>140737</v>
      </c>
      <c r="N84">
        <f t="shared" si="10"/>
        <v>924772</v>
      </c>
      <c r="O84" t="str">
        <f t="shared" si="11"/>
        <v>1981Q3</v>
      </c>
      <c r="P84">
        <f t="shared" si="12"/>
        <v>3</v>
      </c>
      <c r="Q84">
        <v>905399</v>
      </c>
      <c r="R84">
        <v>1061</v>
      </c>
      <c r="S84">
        <f t="shared" si="13"/>
        <v>-19373</v>
      </c>
    </row>
    <row r="85" spans="1:19" x14ac:dyDescent="0.35">
      <c r="A85" s="1">
        <v>29860</v>
      </c>
      <c r="B85">
        <v>456126</v>
      </c>
      <c r="C85">
        <v>8735</v>
      </c>
      <c r="D85">
        <v>163220</v>
      </c>
      <c r="E85">
        <v>1219</v>
      </c>
      <c r="F85">
        <v>-7991</v>
      </c>
      <c r="G85">
        <v>251010</v>
      </c>
      <c r="H85">
        <v>29050</v>
      </c>
      <c r="I85">
        <f t="shared" si="7"/>
        <v>464861</v>
      </c>
      <c r="J85">
        <f t="shared" si="8"/>
        <v>164439</v>
      </c>
      <c r="K85">
        <f t="shared" si="9"/>
        <v>280060</v>
      </c>
      <c r="L85">
        <v>156816</v>
      </c>
      <c r="M85">
        <v>135426</v>
      </c>
      <c r="N85">
        <f t="shared" si="10"/>
        <v>930750</v>
      </c>
      <c r="O85" t="str">
        <f t="shared" si="11"/>
        <v>1981Q4</v>
      </c>
      <c r="P85">
        <f t="shared" si="12"/>
        <v>4</v>
      </c>
      <c r="Q85">
        <v>904512</v>
      </c>
      <c r="R85">
        <v>821</v>
      </c>
      <c r="S85">
        <f t="shared" si="13"/>
        <v>-26238</v>
      </c>
    </row>
    <row r="86" spans="1:19" x14ac:dyDescent="0.35">
      <c r="A86" s="1">
        <v>29952</v>
      </c>
      <c r="B86">
        <v>449363</v>
      </c>
      <c r="C86">
        <v>8416</v>
      </c>
      <c r="D86">
        <v>157245</v>
      </c>
      <c r="E86">
        <v>1203</v>
      </c>
      <c r="F86">
        <v>-10955</v>
      </c>
      <c r="G86">
        <v>248899</v>
      </c>
      <c r="H86">
        <v>28911</v>
      </c>
      <c r="I86">
        <f t="shared" si="7"/>
        <v>457779</v>
      </c>
      <c r="J86">
        <f t="shared" si="8"/>
        <v>158448</v>
      </c>
      <c r="K86">
        <f t="shared" si="9"/>
        <v>277810</v>
      </c>
      <c r="L86">
        <v>153505</v>
      </c>
      <c r="M86">
        <v>124958</v>
      </c>
      <c r="N86">
        <f t="shared" si="10"/>
        <v>922584</v>
      </c>
      <c r="O86" t="str">
        <f t="shared" si="11"/>
        <v>1982Q1</v>
      </c>
      <c r="P86">
        <f t="shared" si="12"/>
        <v>1</v>
      </c>
      <c r="Q86">
        <v>888394</v>
      </c>
      <c r="R86">
        <v>-2280</v>
      </c>
      <c r="S86">
        <f t="shared" si="13"/>
        <v>-34190</v>
      </c>
    </row>
    <row r="87" spans="1:19" x14ac:dyDescent="0.35">
      <c r="A87" s="1">
        <v>30042</v>
      </c>
      <c r="B87">
        <v>445804</v>
      </c>
      <c r="C87">
        <v>8265</v>
      </c>
      <c r="D87">
        <v>144432</v>
      </c>
      <c r="E87">
        <v>1118</v>
      </c>
      <c r="F87">
        <v>-19434</v>
      </c>
      <c r="G87">
        <v>251446</v>
      </c>
      <c r="H87">
        <v>29006</v>
      </c>
      <c r="I87">
        <f t="shared" si="7"/>
        <v>454069</v>
      </c>
      <c r="J87">
        <f t="shared" si="8"/>
        <v>145550</v>
      </c>
      <c r="K87">
        <f t="shared" si="9"/>
        <v>280452</v>
      </c>
      <c r="L87">
        <v>156397</v>
      </c>
      <c r="M87">
        <v>118266</v>
      </c>
      <c r="N87">
        <f t="shared" si="10"/>
        <v>918202</v>
      </c>
      <c r="O87" t="str">
        <f t="shared" si="11"/>
        <v>1982Q2</v>
      </c>
      <c r="P87">
        <f t="shared" si="12"/>
        <v>2</v>
      </c>
      <c r="Q87">
        <v>871947</v>
      </c>
      <c r="R87">
        <v>-409</v>
      </c>
      <c r="S87">
        <f t="shared" si="13"/>
        <v>-46255</v>
      </c>
    </row>
    <row r="88" spans="1:19" x14ac:dyDescent="0.35">
      <c r="A88" s="1">
        <v>30133</v>
      </c>
      <c r="B88">
        <v>444050</v>
      </c>
      <c r="C88">
        <v>8298</v>
      </c>
      <c r="D88">
        <v>136632</v>
      </c>
      <c r="E88">
        <v>1028</v>
      </c>
      <c r="F88">
        <v>-23033</v>
      </c>
      <c r="G88">
        <v>253589</v>
      </c>
      <c r="H88">
        <v>29114</v>
      </c>
      <c r="I88">
        <f t="shared" si="7"/>
        <v>452348</v>
      </c>
      <c r="J88">
        <f t="shared" si="8"/>
        <v>137660</v>
      </c>
      <c r="K88">
        <f t="shared" si="9"/>
        <v>282703</v>
      </c>
      <c r="L88">
        <v>161130</v>
      </c>
      <c r="M88">
        <v>117851</v>
      </c>
      <c r="N88">
        <f t="shared" si="10"/>
        <v>915990</v>
      </c>
      <c r="O88" t="str">
        <f t="shared" si="11"/>
        <v>1982Q3</v>
      </c>
      <c r="P88">
        <f t="shared" si="12"/>
        <v>3</v>
      </c>
      <c r="Q88">
        <v>863083</v>
      </c>
      <c r="R88">
        <v>-2453</v>
      </c>
      <c r="S88">
        <f t="shared" si="13"/>
        <v>-52907</v>
      </c>
    </row>
    <row r="89" spans="1:19" x14ac:dyDescent="0.35">
      <c r="A89" s="1">
        <v>30225</v>
      </c>
      <c r="B89">
        <v>442498</v>
      </c>
      <c r="C89">
        <v>8307</v>
      </c>
      <c r="D89">
        <v>139616</v>
      </c>
      <c r="E89">
        <v>1025</v>
      </c>
      <c r="F89">
        <v>-22476</v>
      </c>
      <c r="G89">
        <v>254303</v>
      </c>
      <c r="H89">
        <v>30064</v>
      </c>
      <c r="I89">
        <f t="shared" si="7"/>
        <v>450805</v>
      </c>
      <c r="J89">
        <f t="shared" si="8"/>
        <v>140641</v>
      </c>
      <c r="K89">
        <f t="shared" si="9"/>
        <v>284367</v>
      </c>
      <c r="L89">
        <v>147639</v>
      </c>
      <c r="M89">
        <v>112011</v>
      </c>
      <c r="N89">
        <f t="shared" si="10"/>
        <v>911441</v>
      </c>
      <c r="O89" t="str">
        <f t="shared" si="11"/>
        <v>1982Q4</v>
      </c>
      <c r="P89">
        <f t="shared" si="12"/>
        <v>4</v>
      </c>
      <c r="Q89">
        <v>866474</v>
      </c>
      <c r="R89">
        <v>-4585</v>
      </c>
      <c r="S89">
        <f t="shared" si="13"/>
        <v>-44967</v>
      </c>
    </row>
    <row r="90" spans="1:19" x14ac:dyDescent="0.35">
      <c r="A90" s="1">
        <v>30317</v>
      </c>
      <c r="B90">
        <v>448765</v>
      </c>
      <c r="C90">
        <v>8298</v>
      </c>
      <c r="D90">
        <v>139185</v>
      </c>
      <c r="E90">
        <v>1095</v>
      </c>
      <c r="F90">
        <v>-9436</v>
      </c>
      <c r="G90">
        <v>249896</v>
      </c>
      <c r="H90">
        <v>29474</v>
      </c>
      <c r="I90">
        <f t="shared" si="7"/>
        <v>457063</v>
      </c>
      <c r="J90">
        <f t="shared" si="8"/>
        <v>140280</v>
      </c>
      <c r="K90">
        <f t="shared" si="9"/>
        <v>279370</v>
      </c>
      <c r="L90">
        <v>151714</v>
      </c>
      <c r="M90">
        <v>118311</v>
      </c>
      <c r="N90">
        <f t="shared" si="10"/>
        <v>910116</v>
      </c>
      <c r="O90" t="str">
        <f t="shared" si="11"/>
        <v>1983Q1</v>
      </c>
      <c r="P90">
        <f t="shared" si="12"/>
        <v>1</v>
      </c>
      <c r="Q90">
        <v>868410</v>
      </c>
      <c r="R90">
        <v>-4505</v>
      </c>
      <c r="S90">
        <f t="shared" si="13"/>
        <v>-41706</v>
      </c>
    </row>
    <row r="91" spans="1:19" x14ac:dyDescent="0.35">
      <c r="A91" s="1">
        <v>30407</v>
      </c>
      <c r="B91">
        <v>454367</v>
      </c>
      <c r="C91">
        <v>8155</v>
      </c>
      <c r="D91">
        <v>142768</v>
      </c>
      <c r="E91">
        <v>1153</v>
      </c>
      <c r="F91">
        <v>-12547</v>
      </c>
      <c r="G91">
        <v>254544</v>
      </c>
      <c r="H91">
        <v>29344</v>
      </c>
      <c r="I91">
        <f t="shared" si="7"/>
        <v>462522</v>
      </c>
      <c r="J91">
        <f t="shared" si="8"/>
        <v>143921</v>
      </c>
      <c r="K91">
        <f t="shared" si="9"/>
        <v>283888</v>
      </c>
      <c r="L91">
        <v>162062</v>
      </c>
      <c r="M91">
        <v>123775</v>
      </c>
      <c r="N91">
        <f t="shared" si="10"/>
        <v>928618</v>
      </c>
      <c r="O91" t="str">
        <f t="shared" si="11"/>
        <v>1983Q2</v>
      </c>
      <c r="P91">
        <f t="shared" si="12"/>
        <v>2</v>
      </c>
      <c r="Q91">
        <v>881682</v>
      </c>
      <c r="R91">
        <v>-2923</v>
      </c>
      <c r="S91">
        <f t="shared" si="13"/>
        <v>-46936</v>
      </c>
    </row>
    <row r="92" spans="1:19" x14ac:dyDescent="0.35">
      <c r="A92" s="1">
        <v>30498</v>
      </c>
      <c r="B92">
        <v>459834</v>
      </c>
      <c r="C92">
        <v>8138</v>
      </c>
      <c r="D92">
        <v>144235</v>
      </c>
      <c r="E92">
        <v>1149</v>
      </c>
      <c r="F92">
        <v>-3399</v>
      </c>
      <c r="G92">
        <v>257223</v>
      </c>
      <c r="H92">
        <v>29689</v>
      </c>
      <c r="I92">
        <f t="shared" si="7"/>
        <v>467972</v>
      </c>
      <c r="J92">
        <f t="shared" si="8"/>
        <v>145384</v>
      </c>
      <c r="K92">
        <f t="shared" si="9"/>
        <v>286912</v>
      </c>
      <c r="L92">
        <v>164306</v>
      </c>
      <c r="M92">
        <v>134025</v>
      </c>
      <c r="N92">
        <f t="shared" si="10"/>
        <v>930549</v>
      </c>
      <c r="O92" t="str">
        <f t="shared" si="11"/>
        <v>1983Q3</v>
      </c>
      <c r="P92">
        <f t="shared" si="12"/>
        <v>3</v>
      </c>
      <c r="Q92">
        <v>891533</v>
      </c>
      <c r="R92">
        <v>-1191</v>
      </c>
      <c r="S92">
        <f t="shared" si="13"/>
        <v>-39016</v>
      </c>
    </row>
    <row r="93" spans="1:19" x14ac:dyDescent="0.35">
      <c r="A93" s="1">
        <v>30590</v>
      </c>
      <c r="B93">
        <v>464845</v>
      </c>
      <c r="C93">
        <v>8147</v>
      </c>
      <c r="D93">
        <v>145314</v>
      </c>
      <c r="E93">
        <v>1151</v>
      </c>
      <c r="F93">
        <v>193</v>
      </c>
      <c r="G93">
        <v>257505</v>
      </c>
      <c r="H93">
        <v>29758</v>
      </c>
      <c r="I93">
        <f t="shared" si="7"/>
        <v>472992</v>
      </c>
      <c r="J93">
        <f t="shared" si="8"/>
        <v>146465</v>
      </c>
      <c r="K93">
        <f t="shared" si="9"/>
        <v>287263</v>
      </c>
      <c r="L93">
        <v>176228</v>
      </c>
      <c r="M93">
        <v>145165</v>
      </c>
      <c r="N93">
        <f t="shared" si="10"/>
        <v>937783</v>
      </c>
      <c r="O93" t="str">
        <f t="shared" si="11"/>
        <v>1983Q4</v>
      </c>
      <c r="P93">
        <f t="shared" si="12"/>
        <v>4</v>
      </c>
      <c r="Q93">
        <v>898287</v>
      </c>
      <c r="R93">
        <v>-677</v>
      </c>
      <c r="S93">
        <f t="shared" si="13"/>
        <v>-39496</v>
      </c>
    </row>
    <row r="94" spans="1:19" x14ac:dyDescent="0.35">
      <c r="A94" s="1">
        <v>30682</v>
      </c>
      <c r="B94">
        <v>469405</v>
      </c>
      <c r="C94">
        <v>7634</v>
      </c>
      <c r="D94">
        <v>145235</v>
      </c>
      <c r="E94">
        <v>1140</v>
      </c>
      <c r="F94">
        <v>6361</v>
      </c>
      <c r="G94">
        <v>258138</v>
      </c>
      <c r="H94">
        <v>30347</v>
      </c>
      <c r="I94">
        <f t="shared" si="7"/>
        <v>477039</v>
      </c>
      <c r="J94">
        <f t="shared" si="8"/>
        <v>146375</v>
      </c>
      <c r="K94">
        <f t="shared" si="9"/>
        <v>288485</v>
      </c>
      <c r="L94">
        <v>184888</v>
      </c>
      <c r="M94">
        <v>150727</v>
      </c>
      <c r="N94">
        <f t="shared" si="10"/>
        <v>946060</v>
      </c>
      <c r="O94" t="str">
        <f t="shared" si="11"/>
        <v>1984Q1</v>
      </c>
      <c r="P94">
        <f t="shared" si="12"/>
        <v>1</v>
      </c>
      <c r="Q94">
        <v>903502</v>
      </c>
      <c r="R94">
        <v>-954</v>
      </c>
      <c r="S94">
        <f t="shared" si="13"/>
        <v>-42558</v>
      </c>
    </row>
    <row r="95" spans="1:19" x14ac:dyDescent="0.35">
      <c r="A95" s="1">
        <v>30773</v>
      </c>
      <c r="B95">
        <v>474285</v>
      </c>
      <c r="C95">
        <v>7735</v>
      </c>
      <c r="D95">
        <v>144691</v>
      </c>
      <c r="E95">
        <v>1196</v>
      </c>
      <c r="F95">
        <v>12174</v>
      </c>
      <c r="G95">
        <v>258237</v>
      </c>
      <c r="H95">
        <v>30518</v>
      </c>
      <c r="I95">
        <f t="shared" si="7"/>
        <v>482020</v>
      </c>
      <c r="J95">
        <f t="shared" si="8"/>
        <v>145887</v>
      </c>
      <c r="K95">
        <f t="shared" si="9"/>
        <v>288755</v>
      </c>
      <c r="L95">
        <v>190881</v>
      </c>
      <c r="M95">
        <v>152619</v>
      </c>
      <c r="N95">
        <f t="shared" si="10"/>
        <v>954924</v>
      </c>
      <c r="O95" t="str">
        <f t="shared" si="11"/>
        <v>1984Q2</v>
      </c>
      <c r="P95">
        <f t="shared" si="12"/>
        <v>2</v>
      </c>
      <c r="Q95">
        <v>908531</v>
      </c>
      <c r="R95">
        <v>-279</v>
      </c>
      <c r="S95">
        <f t="shared" si="13"/>
        <v>-46393</v>
      </c>
    </row>
    <row r="96" spans="1:19" x14ac:dyDescent="0.35">
      <c r="A96" s="1">
        <v>30864</v>
      </c>
      <c r="B96">
        <v>474825</v>
      </c>
      <c r="C96">
        <v>7777</v>
      </c>
      <c r="D96">
        <v>145487</v>
      </c>
      <c r="E96">
        <v>1227</v>
      </c>
      <c r="F96">
        <v>6919</v>
      </c>
      <c r="G96">
        <v>261238</v>
      </c>
      <c r="H96">
        <v>31283</v>
      </c>
      <c r="I96">
        <f t="shared" si="7"/>
        <v>482602</v>
      </c>
      <c r="J96">
        <f t="shared" si="8"/>
        <v>146714</v>
      </c>
      <c r="K96">
        <f t="shared" si="9"/>
        <v>292521</v>
      </c>
      <c r="L96">
        <v>201733</v>
      </c>
      <c r="M96">
        <v>157697</v>
      </c>
      <c r="N96">
        <f t="shared" si="10"/>
        <v>965873</v>
      </c>
      <c r="O96" t="str">
        <f t="shared" si="11"/>
        <v>1984Q3</v>
      </c>
      <c r="P96">
        <f t="shared" si="12"/>
        <v>3</v>
      </c>
      <c r="Q96">
        <v>913324</v>
      </c>
      <c r="R96">
        <v>-2291</v>
      </c>
      <c r="S96">
        <f t="shared" si="13"/>
        <v>-52549</v>
      </c>
    </row>
    <row r="97" spans="1:19" x14ac:dyDescent="0.35">
      <c r="A97" s="1">
        <v>30956</v>
      </c>
      <c r="B97">
        <v>483051</v>
      </c>
      <c r="C97">
        <v>7937</v>
      </c>
      <c r="D97">
        <v>145085</v>
      </c>
      <c r="E97">
        <v>1241</v>
      </c>
      <c r="F97">
        <v>3973</v>
      </c>
      <c r="G97">
        <v>264575</v>
      </c>
      <c r="H97">
        <v>31718</v>
      </c>
      <c r="I97">
        <f t="shared" si="7"/>
        <v>490988</v>
      </c>
      <c r="J97">
        <f t="shared" si="8"/>
        <v>146326</v>
      </c>
      <c r="K97">
        <f t="shared" si="9"/>
        <v>296293</v>
      </c>
      <c r="L97">
        <v>198852</v>
      </c>
      <c r="M97">
        <v>151200</v>
      </c>
      <c r="N97">
        <f t="shared" si="10"/>
        <v>981259</v>
      </c>
      <c r="O97" t="str">
        <f t="shared" si="11"/>
        <v>1984Q4</v>
      </c>
      <c r="P97">
        <f t="shared" si="12"/>
        <v>4</v>
      </c>
      <c r="Q97">
        <v>924975</v>
      </c>
      <c r="R97">
        <v>-1601</v>
      </c>
      <c r="S97">
        <f t="shared" si="13"/>
        <v>-56284</v>
      </c>
    </row>
    <row r="98" spans="1:19" x14ac:dyDescent="0.35">
      <c r="A98" s="1">
        <v>31048</v>
      </c>
      <c r="B98">
        <v>488708</v>
      </c>
      <c r="C98">
        <v>8517</v>
      </c>
      <c r="D98">
        <v>148537</v>
      </c>
      <c r="E98">
        <v>1189</v>
      </c>
      <c r="F98">
        <v>8248</v>
      </c>
      <c r="G98">
        <v>268573</v>
      </c>
      <c r="H98">
        <v>32656</v>
      </c>
      <c r="I98">
        <f t="shared" si="7"/>
        <v>497225</v>
      </c>
      <c r="J98">
        <f t="shared" si="8"/>
        <v>149726</v>
      </c>
      <c r="K98">
        <f t="shared" si="9"/>
        <v>301229</v>
      </c>
      <c r="L98">
        <v>200366</v>
      </c>
      <c r="M98">
        <v>157625</v>
      </c>
      <c r="N98">
        <f t="shared" si="10"/>
        <v>990921</v>
      </c>
      <c r="O98" t="str">
        <f t="shared" si="11"/>
        <v>1985Q1</v>
      </c>
      <c r="P98">
        <f t="shared" si="12"/>
        <v>1</v>
      </c>
      <c r="Q98">
        <v>939619</v>
      </c>
      <c r="R98">
        <v>1607</v>
      </c>
      <c r="S98">
        <f t="shared" si="13"/>
        <v>-51302</v>
      </c>
    </row>
    <row r="99" spans="1:19" x14ac:dyDescent="0.35">
      <c r="A99" s="1">
        <v>31138</v>
      </c>
      <c r="B99">
        <v>493136</v>
      </c>
      <c r="C99">
        <v>8609</v>
      </c>
      <c r="D99">
        <v>155653</v>
      </c>
      <c r="E99">
        <v>1188</v>
      </c>
      <c r="F99">
        <v>6086</v>
      </c>
      <c r="G99">
        <v>270876</v>
      </c>
      <c r="H99">
        <v>34162</v>
      </c>
      <c r="I99">
        <f t="shared" si="7"/>
        <v>501745</v>
      </c>
      <c r="J99">
        <f t="shared" si="8"/>
        <v>156841</v>
      </c>
      <c r="K99">
        <f t="shared" si="9"/>
        <v>305038</v>
      </c>
      <c r="L99">
        <v>202128</v>
      </c>
      <c r="M99">
        <v>165500</v>
      </c>
      <c r="N99">
        <f t="shared" si="10"/>
        <v>1000252</v>
      </c>
      <c r="O99" t="str">
        <f t="shared" si="11"/>
        <v>1985Q2</v>
      </c>
      <c r="P99">
        <f t="shared" si="12"/>
        <v>2</v>
      </c>
      <c r="Q99">
        <v>955512</v>
      </c>
      <c r="R99">
        <v>1003</v>
      </c>
      <c r="S99">
        <f t="shared" si="13"/>
        <v>-44740</v>
      </c>
    </row>
    <row r="100" spans="1:19" x14ac:dyDescent="0.35">
      <c r="A100" s="1">
        <v>31229</v>
      </c>
      <c r="B100">
        <v>502914</v>
      </c>
      <c r="C100">
        <v>8399</v>
      </c>
      <c r="D100">
        <v>160753</v>
      </c>
      <c r="E100">
        <v>1233</v>
      </c>
      <c r="F100">
        <v>10714</v>
      </c>
      <c r="G100">
        <v>268773</v>
      </c>
      <c r="H100">
        <v>35062</v>
      </c>
      <c r="I100">
        <f t="shared" si="7"/>
        <v>511313</v>
      </c>
      <c r="J100">
        <f t="shared" si="8"/>
        <v>161986</v>
      </c>
      <c r="K100">
        <f t="shared" si="9"/>
        <v>303835</v>
      </c>
      <c r="L100">
        <v>203129</v>
      </c>
      <c r="M100">
        <v>169588</v>
      </c>
      <c r="N100">
        <f t="shared" si="10"/>
        <v>1010675</v>
      </c>
      <c r="O100" t="str">
        <f t="shared" si="11"/>
        <v>1985Q3</v>
      </c>
      <c r="P100">
        <f t="shared" si="12"/>
        <v>3</v>
      </c>
      <c r="Q100">
        <v>970335</v>
      </c>
      <c r="R100">
        <v>-2143</v>
      </c>
      <c r="S100">
        <f t="shared" si="13"/>
        <v>-40340</v>
      </c>
    </row>
    <row r="101" spans="1:19" x14ac:dyDescent="0.35">
      <c r="A101" s="1">
        <v>31321</v>
      </c>
      <c r="B101">
        <v>508090</v>
      </c>
      <c r="C101">
        <v>8542</v>
      </c>
      <c r="D101">
        <v>162875</v>
      </c>
      <c r="E101">
        <v>1232</v>
      </c>
      <c r="F101">
        <v>7921</v>
      </c>
      <c r="G101">
        <v>275438</v>
      </c>
      <c r="H101">
        <v>34702</v>
      </c>
      <c r="I101">
        <f t="shared" si="7"/>
        <v>516632</v>
      </c>
      <c r="J101">
        <f t="shared" si="8"/>
        <v>164107</v>
      </c>
      <c r="K101">
        <f t="shared" si="9"/>
        <v>310140</v>
      </c>
      <c r="L101">
        <v>205979</v>
      </c>
      <c r="M101">
        <v>170550</v>
      </c>
      <c r="N101">
        <f t="shared" si="10"/>
        <v>1026308</v>
      </c>
      <c r="O101" t="str">
        <f t="shared" si="11"/>
        <v>1985Q4</v>
      </c>
      <c r="P101">
        <f t="shared" si="12"/>
        <v>4</v>
      </c>
      <c r="Q101">
        <v>983225</v>
      </c>
      <c r="R101">
        <v>1178</v>
      </c>
      <c r="S101">
        <f t="shared" si="13"/>
        <v>-43083</v>
      </c>
    </row>
    <row r="102" spans="1:19" x14ac:dyDescent="0.35">
      <c r="A102" s="1">
        <v>31413</v>
      </c>
      <c r="B102">
        <v>507331</v>
      </c>
      <c r="C102">
        <v>8693</v>
      </c>
      <c r="D102">
        <v>165249</v>
      </c>
      <c r="E102">
        <v>1226</v>
      </c>
      <c r="F102">
        <v>11642</v>
      </c>
      <c r="G102">
        <v>275589</v>
      </c>
      <c r="H102">
        <v>34406</v>
      </c>
      <c r="I102">
        <f t="shared" si="7"/>
        <v>516024</v>
      </c>
      <c r="J102">
        <f t="shared" si="8"/>
        <v>166475</v>
      </c>
      <c r="K102">
        <f t="shared" si="9"/>
        <v>309995</v>
      </c>
      <c r="L102">
        <v>207259</v>
      </c>
      <c r="M102">
        <v>174205</v>
      </c>
      <c r="N102">
        <f t="shared" si="10"/>
        <v>1025548</v>
      </c>
      <c r="O102" t="str">
        <f t="shared" si="11"/>
        <v>1986Q1</v>
      </c>
      <c r="P102">
        <f t="shared" si="12"/>
        <v>1</v>
      </c>
      <c r="Q102">
        <v>984899</v>
      </c>
      <c r="R102">
        <v>-1896</v>
      </c>
      <c r="S102">
        <f t="shared" si="13"/>
        <v>-40649</v>
      </c>
    </row>
    <row r="103" spans="1:19" x14ac:dyDescent="0.35">
      <c r="A103" s="1">
        <v>31503</v>
      </c>
      <c r="B103">
        <v>513420</v>
      </c>
      <c r="C103">
        <v>8529</v>
      </c>
      <c r="D103">
        <v>165274</v>
      </c>
      <c r="E103">
        <v>1200</v>
      </c>
      <c r="F103">
        <v>9392</v>
      </c>
      <c r="G103">
        <v>273788</v>
      </c>
      <c r="H103">
        <v>33919</v>
      </c>
      <c r="I103">
        <f t="shared" si="7"/>
        <v>521949</v>
      </c>
      <c r="J103">
        <f t="shared" si="8"/>
        <v>166474</v>
      </c>
      <c r="K103">
        <f t="shared" si="9"/>
        <v>307707</v>
      </c>
      <c r="L103">
        <v>209171</v>
      </c>
      <c r="M103">
        <v>172993</v>
      </c>
      <c r="N103">
        <f t="shared" si="10"/>
        <v>1032308</v>
      </c>
      <c r="O103" t="str">
        <f t="shared" si="11"/>
        <v>1986Q2</v>
      </c>
      <c r="P103">
        <f t="shared" si="12"/>
        <v>2</v>
      </c>
      <c r="Q103">
        <v>989164</v>
      </c>
      <c r="R103">
        <v>-2621</v>
      </c>
      <c r="S103">
        <f t="shared" si="13"/>
        <v>-43144</v>
      </c>
    </row>
    <row r="104" spans="1:19" x14ac:dyDescent="0.35">
      <c r="A104" s="1">
        <v>31594</v>
      </c>
      <c r="B104">
        <v>520555</v>
      </c>
      <c r="C104">
        <v>8664</v>
      </c>
      <c r="D104">
        <v>164672</v>
      </c>
      <c r="E104">
        <v>1173</v>
      </c>
      <c r="F104">
        <v>2033</v>
      </c>
      <c r="G104">
        <v>276499</v>
      </c>
      <c r="H104">
        <v>33249</v>
      </c>
      <c r="I104">
        <f t="shared" si="7"/>
        <v>529219</v>
      </c>
      <c r="J104">
        <f t="shared" si="8"/>
        <v>165845</v>
      </c>
      <c r="K104">
        <f t="shared" si="9"/>
        <v>309748</v>
      </c>
      <c r="L104">
        <v>216231</v>
      </c>
      <c r="M104">
        <v>180307</v>
      </c>
      <c r="N104">
        <f t="shared" si="10"/>
        <v>1040736</v>
      </c>
      <c r="O104" t="str">
        <f t="shared" si="11"/>
        <v>1986Q3</v>
      </c>
      <c r="P104">
        <f t="shared" si="12"/>
        <v>3</v>
      </c>
      <c r="Q104">
        <v>997707</v>
      </c>
      <c r="R104">
        <v>489</v>
      </c>
      <c r="S104">
        <f t="shared" si="13"/>
        <v>-43029</v>
      </c>
    </row>
    <row r="105" spans="1:19" x14ac:dyDescent="0.35">
      <c r="A105" s="1">
        <v>31686</v>
      </c>
      <c r="B105">
        <v>520818</v>
      </c>
      <c r="C105">
        <v>8442</v>
      </c>
      <c r="D105">
        <v>165572</v>
      </c>
      <c r="E105">
        <v>1166</v>
      </c>
      <c r="F105">
        <v>-1380</v>
      </c>
      <c r="G105">
        <v>275463</v>
      </c>
      <c r="H105">
        <v>32978</v>
      </c>
      <c r="I105">
        <f t="shared" si="7"/>
        <v>529260</v>
      </c>
      <c r="J105">
        <f t="shared" si="8"/>
        <v>166738</v>
      </c>
      <c r="K105">
        <f t="shared" si="9"/>
        <v>308441</v>
      </c>
      <c r="L105">
        <v>215671</v>
      </c>
      <c r="M105">
        <v>180154</v>
      </c>
      <c r="N105">
        <f t="shared" si="10"/>
        <v>1039956</v>
      </c>
      <c r="O105" t="str">
        <f t="shared" si="11"/>
        <v>1986Q4</v>
      </c>
      <c r="P105">
        <f t="shared" si="12"/>
        <v>4</v>
      </c>
      <c r="Q105">
        <v>997501</v>
      </c>
      <c r="R105">
        <v>-2565</v>
      </c>
      <c r="S105">
        <f t="shared" si="13"/>
        <v>-42455</v>
      </c>
    </row>
    <row r="106" spans="1:19" x14ac:dyDescent="0.35">
      <c r="A106" s="1">
        <v>31778</v>
      </c>
      <c r="B106">
        <v>526116</v>
      </c>
      <c r="C106">
        <v>8156</v>
      </c>
      <c r="D106">
        <v>170021</v>
      </c>
      <c r="E106">
        <v>1124</v>
      </c>
      <c r="F106">
        <v>1507</v>
      </c>
      <c r="G106">
        <v>277776</v>
      </c>
      <c r="H106">
        <v>33673</v>
      </c>
      <c r="I106">
        <f t="shared" si="7"/>
        <v>534272</v>
      </c>
      <c r="J106">
        <f t="shared" si="8"/>
        <v>171145</v>
      </c>
      <c r="K106">
        <f t="shared" si="9"/>
        <v>311449</v>
      </c>
      <c r="L106">
        <v>217724</v>
      </c>
      <c r="M106">
        <v>178356</v>
      </c>
      <c r="N106">
        <f t="shared" si="10"/>
        <v>1056234</v>
      </c>
      <c r="O106" t="str">
        <f t="shared" si="11"/>
        <v>1987Q1</v>
      </c>
      <c r="P106">
        <f t="shared" si="12"/>
        <v>1</v>
      </c>
      <c r="Q106">
        <v>1009984</v>
      </c>
      <c r="R106">
        <v>-369</v>
      </c>
      <c r="S106">
        <f t="shared" si="13"/>
        <v>-46250</v>
      </c>
    </row>
    <row r="107" spans="1:19" x14ac:dyDescent="0.35">
      <c r="A107" s="1">
        <v>31868</v>
      </c>
      <c r="B107">
        <v>534657</v>
      </c>
      <c r="C107">
        <v>8208</v>
      </c>
      <c r="D107">
        <v>178995</v>
      </c>
      <c r="E107">
        <v>1163</v>
      </c>
      <c r="F107">
        <v>-733</v>
      </c>
      <c r="G107">
        <v>279902</v>
      </c>
      <c r="H107">
        <v>33918</v>
      </c>
      <c r="I107">
        <f t="shared" si="7"/>
        <v>542865</v>
      </c>
      <c r="J107">
        <f t="shared" si="8"/>
        <v>180158</v>
      </c>
      <c r="K107">
        <f t="shared" si="9"/>
        <v>313820</v>
      </c>
      <c r="L107">
        <v>214706</v>
      </c>
      <c r="M107">
        <v>180958</v>
      </c>
      <c r="N107">
        <f t="shared" si="10"/>
        <v>1070591</v>
      </c>
      <c r="O107" t="str">
        <f t="shared" si="11"/>
        <v>1987Q2</v>
      </c>
      <c r="P107">
        <f t="shared" si="12"/>
        <v>2</v>
      </c>
      <c r="Q107">
        <v>1030597</v>
      </c>
      <c r="R107">
        <v>2371</v>
      </c>
      <c r="S107">
        <f t="shared" si="13"/>
        <v>-39994</v>
      </c>
    </row>
    <row r="108" spans="1:19" x14ac:dyDescent="0.35">
      <c r="A108" s="1">
        <v>31959</v>
      </c>
      <c r="B108">
        <v>539405</v>
      </c>
      <c r="C108">
        <v>8056</v>
      </c>
      <c r="D108">
        <v>189636</v>
      </c>
      <c r="E108">
        <v>1182</v>
      </c>
      <c r="F108">
        <v>1825</v>
      </c>
      <c r="G108">
        <v>277962</v>
      </c>
      <c r="H108">
        <v>34381</v>
      </c>
      <c r="I108">
        <f t="shared" si="7"/>
        <v>547461</v>
      </c>
      <c r="J108">
        <f t="shared" si="8"/>
        <v>190818</v>
      </c>
      <c r="K108">
        <f t="shared" si="9"/>
        <v>312343</v>
      </c>
      <c r="L108">
        <v>218082</v>
      </c>
      <c r="M108">
        <v>185794</v>
      </c>
      <c r="N108">
        <f t="shared" si="10"/>
        <v>1082910</v>
      </c>
      <c r="O108" t="str">
        <f t="shared" si="11"/>
        <v>1987Q3</v>
      </c>
      <c r="P108">
        <f t="shared" si="12"/>
        <v>3</v>
      </c>
      <c r="Q108">
        <v>1045562</v>
      </c>
      <c r="R108">
        <v>3122</v>
      </c>
      <c r="S108">
        <f t="shared" si="13"/>
        <v>-37348</v>
      </c>
    </row>
    <row r="109" spans="1:19" x14ac:dyDescent="0.35">
      <c r="A109" s="1">
        <v>32051</v>
      </c>
      <c r="B109">
        <v>545262</v>
      </c>
      <c r="C109">
        <v>8582</v>
      </c>
      <c r="D109">
        <v>193153</v>
      </c>
      <c r="E109">
        <v>1203</v>
      </c>
      <c r="F109">
        <v>13117</v>
      </c>
      <c r="G109">
        <v>281444</v>
      </c>
      <c r="H109">
        <v>34390</v>
      </c>
      <c r="I109">
        <f t="shared" si="7"/>
        <v>553844</v>
      </c>
      <c r="J109">
        <f t="shared" si="8"/>
        <v>194356</v>
      </c>
      <c r="K109">
        <f t="shared" si="9"/>
        <v>315834</v>
      </c>
      <c r="L109">
        <v>224983</v>
      </c>
      <c r="M109">
        <v>200785</v>
      </c>
      <c r="N109">
        <f t="shared" si="10"/>
        <v>1088232</v>
      </c>
      <c r="O109" t="str">
        <f t="shared" si="11"/>
        <v>1987Q4</v>
      </c>
      <c r="P109">
        <f t="shared" si="12"/>
        <v>4</v>
      </c>
      <c r="Q109">
        <v>1059071</v>
      </c>
      <c r="R109">
        <v>2672</v>
      </c>
      <c r="S109">
        <f t="shared" si="13"/>
        <v>-29161</v>
      </c>
    </row>
    <row r="110" spans="1:19" x14ac:dyDescent="0.35">
      <c r="A110" s="1">
        <v>32143</v>
      </c>
      <c r="B110">
        <v>548587</v>
      </c>
      <c r="C110">
        <v>8874</v>
      </c>
      <c r="D110">
        <v>196681</v>
      </c>
      <c r="E110">
        <v>1175</v>
      </c>
      <c r="F110">
        <v>13536</v>
      </c>
      <c r="G110">
        <v>284771</v>
      </c>
      <c r="H110">
        <v>35339</v>
      </c>
      <c r="I110">
        <f t="shared" si="7"/>
        <v>557461</v>
      </c>
      <c r="J110">
        <f t="shared" si="8"/>
        <v>197856</v>
      </c>
      <c r="K110">
        <f t="shared" si="9"/>
        <v>320110</v>
      </c>
      <c r="L110">
        <v>237087</v>
      </c>
      <c r="M110">
        <v>208448</v>
      </c>
      <c r="N110">
        <f t="shared" si="10"/>
        <v>1104066</v>
      </c>
      <c r="O110" t="str">
        <f t="shared" si="11"/>
        <v>1988Q1</v>
      </c>
      <c r="P110">
        <f t="shared" si="12"/>
        <v>1</v>
      </c>
      <c r="Q110">
        <v>1070390</v>
      </c>
      <c r="R110">
        <v>2188</v>
      </c>
      <c r="S110">
        <f t="shared" si="13"/>
        <v>-33676</v>
      </c>
    </row>
    <row r="111" spans="1:19" x14ac:dyDescent="0.35">
      <c r="A111" s="1">
        <v>32234</v>
      </c>
      <c r="B111">
        <v>556475</v>
      </c>
      <c r="C111">
        <v>8862</v>
      </c>
      <c r="D111">
        <v>198408</v>
      </c>
      <c r="E111">
        <v>1170</v>
      </c>
      <c r="F111">
        <v>6553</v>
      </c>
      <c r="G111">
        <v>287417</v>
      </c>
      <c r="H111">
        <v>36064</v>
      </c>
      <c r="I111">
        <f t="shared" si="7"/>
        <v>565337</v>
      </c>
      <c r="J111">
        <f t="shared" si="8"/>
        <v>199578</v>
      </c>
      <c r="K111">
        <f t="shared" si="9"/>
        <v>323481</v>
      </c>
      <c r="L111">
        <v>241019</v>
      </c>
      <c r="M111">
        <v>208480</v>
      </c>
      <c r="N111">
        <f t="shared" si="10"/>
        <v>1120935</v>
      </c>
      <c r="O111" t="str">
        <f t="shared" si="11"/>
        <v>1988Q2</v>
      </c>
      <c r="P111">
        <f t="shared" si="12"/>
        <v>2</v>
      </c>
      <c r="Q111">
        <v>1083454</v>
      </c>
      <c r="R111">
        <v>1836</v>
      </c>
      <c r="S111">
        <f t="shared" si="13"/>
        <v>-37481</v>
      </c>
    </row>
    <row r="112" spans="1:19" x14ac:dyDescent="0.35">
      <c r="A112" s="1">
        <v>32325</v>
      </c>
      <c r="B112">
        <v>559961</v>
      </c>
      <c r="C112">
        <v>8874</v>
      </c>
      <c r="D112">
        <v>205706</v>
      </c>
      <c r="E112">
        <v>1183</v>
      </c>
      <c r="F112">
        <v>6999</v>
      </c>
      <c r="G112">
        <v>288719</v>
      </c>
      <c r="H112">
        <v>36618</v>
      </c>
      <c r="I112">
        <f t="shared" si="7"/>
        <v>568835</v>
      </c>
      <c r="J112">
        <f t="shared" si="8"/>
        <v>206889</v>
      </c>
      <c r="K112">
        <f t="shared" si="9"/>
        <v>325337</v>
      </c>
      <c r="L112">
        <v>235441</v>
      </c>
      <c r="M112">
        <v>213611</v>
      </c>
      <c r="N112">
        <f t="shared" si="10"/>
        <v>1122891</v>
      </c>
      <c r="O112" t="str">
        <f t="shared" si="11"/>
        <v>1988Q3</v>
      </c>
      <c r="P112">
        <f t="shared" si="12"/>
        <v>3</v>
      </c>
      <c r="Q112">
        <v>1096485</v>
      </c>
      <c r="R112">
        <v>1326</v>
      </c>
      <c r="S112">
        <f t="shared" si="13"/>
        <v>-26406</v>
      </c>
    </row>
    <row r="113" spans="1:19" x14ac:dyDescent="0.35">
      <c r="A113" s="1">
        <v>32417</v>
      </c>
      <c r="B113">
        <v>567002</v>
      </c>
      <c r="C113">
        <v>9189</v>
      </c>
      <c r="D113">
        <v>202565</v>
      </c>
      <c r="E113">
        <v>1201</v>
      </c>
      <c r="F113">
        <v>5026</v>
      </c>
      <c r="G113">
        <v>288805</v>
      </c>
      <c r="H113">
        <v>36434</v>
      </c>
      <c r="I113">
        <f t="shared" si="7"/>
        <v>576191</v>
      </c>
      <c r="J113">
        <f t="shared" si="8"/>
        <v>203766</v>
      </c>
      <c r="K113">
        <f t="shared" si="9"/>
        <v>325239</v>
      </c>
      <c r="L113">
        <v>241479</v>
      </c>
      <c r="M113">
        <v>215935</v>
      </c>
      <c r="N113">
        <f t="shared" si="10"/>
        <v>1130740</v>
      </c>
      <c r="O113" t="str">
        <f t="shared" si="11"/>
        <v>1988Q4</v>
      </c>
      <c r="P113">
        <f t="shared" si="12"/>
        <v>4</v>
      </c>
      <c r="Q113">
        <v>1100960</v>
      </c>
      <c r="R113">
        <v>2080</v>
      </c>
      <c r="S113">
        <f t="shared" si="13"/>
        <v>-29780</v>
      </c>
    </row>
    <row r="114" spans="1:19" x14ac:dyDescent="0.35">
      <c r="A114" s="1">
        <v>32509</v>
      </c>
      <c r="B114">
        <v>571085</v>
      </c>
      <c r="C114">
        <v>9306</v>
      </c>
      <c r="D114">
        <v>211697</v>
      </c>
      <c r="E114">
        <v>1187</v>
      </c>
      <c r="F114">
        <v>1557</v>
      </c>
      <c r="G114">
        <v>289888</v>
      </c>
      <c r="H114">
        <v>37510</v>
      </c>
      <c r="I114">
        <f t="shared" si="7"/>
        <v>580391</v>
      </c>
      <c r="J114">
        <f t="shared" si="8"/>
        <v>212884</v>
      </c>
      <c r="K114">
        <f t="shared" si="9"/>
        <v>327398</v>
      </c>
      <c r="L114">
        <v>245738</v>
      </c>
      <c r="M114">
        <v>221541</v>
      </c>
      <c r="N114">
        <f t="shared" si="10"/>
        <v>1144870</v>
      </c>
      <c r="O114" t="str">
        <f t="shared" si="11"/>
        <v>1989Q1</v>
      </c>
      <c r="P114">
        <f t="shared" si="12"/>
        <v>1</v>
      </c>
      <c r="Q114">
        <v>1117069</v>
      </c>
      <c r="R114">
        <v>4960</v>
      </c>
      <c r="S114">
        <f t="shared" si="13"/>
        <v>-27801</v>
      </c>
    </row>
    <row r="115" spans="1:19" x14ac:dyDescent="0.35">
      <c r="A115" s="1">
        <v>32599</v>
      </c>
      <c r="B115">
        <v>578438</v>
      </c>
      <c r="C115">
        <v>9551</v>
      </c>
      <c r="D115">
        <v>209466</v>
      </c>
      <c r="E115">
        <v>1169</v>
      </c>
      <c r="F115">
        <v>12462</v>
      </c>
      <c r="G115">
        <v>293888</v>
      </c>
      <c r="H115">
        <v>37760</v>
      </c>
      <c r="I115">
        <f t="shared" si="7"/>
        <v>587989</v>
      </c>
      <c r="J115">
        <f t="shared" si="8"/>
        <v>210635</v>
      </c>
      <c r="K115">
        <f t="shared" si="9"/>
        <v>331648</v>
      </c>
      <c r="L115">
        <v>236272</v>
      </c>
      <c r="M115">
        <v>223038</v>
      </c>
      <c r="N115">
        <f t="shared" si="10"/>
        <v>1143506</v>
      </c>
      <c r="O115" t="str">
        <f t="shared" si="11"/>
        <v>1989Q2</v>
      </c>
      <c r="P115">
        <f t="shared" si="12"/>
        <v>2</v>
      </c>
      <c r="Q115">
        <v>1126363</v>
      </c>
      <c r="R115">
        <v>1016</v>
      </c>
      <c r="S115">
        <f t="shared" si="13"/>
        <v>-17143</v>
      </c>
    </row>
    <row r="116" spans="1:19" x14ac:dyDescent="0.35">
      <c r="A116" s="1">
        <v>32690</v>
      </c>
      <c r="B116">
        <v>576517</v>
      </c>
      <c r="C116">
        <v>9773</v>
      </c>
      <c r="D116">
        <v>207405</v>
      </c>
      <c r="E116">
        <v>1150</v>
      </c>
      <c r="F116">
        <v>14991</v>
      </c>
      <c r="G116">
        <v>297318</v>
      </c>
      <c r="H116">
        <v>38723</v>
      </c>
      <c r="I116">
        <f t="shared" si="7"/>
        <v>586290</v>
      </c>
      <c r="J116">
        <f t="shared" si="8"/>
        <v>208555</v>
      </c>
      <c r="K116">
        <f t="shared" si="9"/>
        <v>336041</v>
      </c>
      <c r="L116">
        <v>237605</v>
      </c>
      <c r="M116">
        <v>221537</v>
      </c>
      <c r="N116">
        <f t="shared" si="10"/>
        <v>1146954</v>
      </c>
      <c r="O116" t="str">
        <f t="shared" si="11"/>
        <v>1989Q3</v>
      </c>
      <c r="P116">
        <f t="shared" si="12"/>
        <v>3</v>
      </c>
      <c r="Q116">
        <v>1126285</v>
      </c>
      <c r="R116">
        <v>-1197</v>
      </c>
      <c r="S116">
        <f t="shared" si="13"/>
        <v>-20669</v>
      </c>
    </row>
    <row r="117" spans="1:19" x14ac:dyDescent="0.35">
      <c r="A117" s="1">
        <v>32782</v>
      </c>
      <c r="B117">
        <v>580259</v>
      </c>
      <c r="C117">
        <v>9831</v>
      </c>
      <c r="D117">
        <v>214099</v>
      </c>
      <c r="E117">
        <v>1212</v>
      </c>
      <c r="F117">
        <v>1492</v>
      </c>
      <c r="G117">
        <v>296904</v>
      </c>
      <c r="H117">
        <v>40328</v>
      </c>
      <c r="I117">
        <f t="shared" si="7"/>
        <v>590090</v>
      </c>
      <c r="J117">
        <f t="shared" si="8"/>
        <v>215311</v>
      </c>
      <c r="K117">
        <f t="shared" si="9"/>
        <v>337232</v>
      </c>
      <c r="L117">
        <v>243936</v>
      </c>
      <c r="M117">
        <v>229211</v>
      </c>
      <c r="N117">
        <f t="shared" si="10"/>
        <v>1157358</v>
      </c>
      <c r="O117" t="str">
        <f t="shared" si="11"/>
        <v>1989Q4</v>
      </c>
      <c r="P117">
        <f t="shared" si="12"/>
        <v>4</v>
      </c>
      <c r="Q117">
        <v>1138653</v>
      </c>
      <c r="R117">
        <v>1647</v>
      </c>
      <c r="S117">
        <f t="shared" si="13"/>
        <v>-18705</v>
      </c>
    </row>
    <row r="118" spans="1:19" x14ac:dyDescent="0.35">
      <c r="A118" s="1">
        <v>32874</v>
      </c>
      <c r="B118">
        <v>588986</v>
      </c>
      <c r="C118">
        <v>10351</v>
      </c>
      <c r="D118">
        <v>209896</v>
      </c>
      <c r="E118">
        <v>1226</v>
      </c>
      <c r="F118">
        <v>-34</v>
      </c>
      <c r="G118">
        <v>302683</v>
      </c>
      <c r="H118">
        <v>40682</v>
      </c>
      <c r="I118">
        <f t="shared" si="7"/>
        <v>599337</v>
      </c>
      <c r="J118">
        <f t="shared" si="8"/>
        <v>211122</v>
      </c>
      <c r="K118">
        <f t="shared" si="9"/>
        <v>343365</v>
      </c>
      <c r="L118">
        <v>247653</v>
      </c>
      <c r="M118">
        <v>230451</v>
      </c>
      <c r="N118">
        <f t="shared" si="10"/>
        <v>1171026</v>
      </c>
      <c r="O118" t="str">
        <f t="shared" si="11"/>
        <v>1990Q1</v>
      </c>
      <c r="P118">
        <f t="shared" si="12"/>
        <v>1</v>
      </c>
      <c r="Q118">
        <v>1149413</v>
      </c>
      <c r="R118">
        <v>785</v>
      </c>
      <c r="S118">
        <f t="shared" si="13"/>
        <v>-21613</v>
      </c>
    </row>
    <row r="119" spans="1:19" x14ac:dyDescent="0.35">
      <c r="A119" s="1">
        <v>32964</v>
      </c>
      <c r="B119">
        <v>581867</v>
      </c>
      <c r="C119">
        <v>10771</v>
      </c>
      <c r="D119">
        <v>203883</v>
      </c>
      <c r="E119">
        <v>1234</v>
      </c>
      <c r="F119">
        <v>1114</v>
      </c>
      <c r="G119">
        <v>299097</v>
      </c>
      <c r="H119">
        <v>40594</v>
      </c>
      <c r="I119">
        <f t="shared" si="7"/>
        <v>592638</v>
      </c>
      <c r="J119">
        <f t="shared" si="8"/>
        <v>205117</v>
      </c>
      <c r="K119">
        <f t="shared" si="9"/>
        <v>339691</v>
      </c>
      <c r="L119">
        <v>256667</v>
      </c>
      <c r="M119">
        <v>231011</v>
      </c>
      <c r="N119">
        <f t="shared" si="10"/>
        <v>1163102</v>
      </c>
      <c r="O119" t="str">
        <f t="shared" si="11"/>
        <v>1990Q2</v>
      </c>
      <c r="P119">
        <f t="shared" si="12"/>
        <v>2</v>
      </c>
      <c r="Q119">
        <v>1133147</v>
      </c>
      <c r="R119">
        <v>1441</v>
      </c>
      <c r="S119">
        <f t="shared" si="13"/>
        <v>-29955</v>
      </c>
    </row>
    <row r="120" spans="1:19" x14ac:dyDescent="0.35">
      <c r="A120" s="1">
        <v>33055</v>
      </c>
      <c r="B120">
        <v>581901</v>
      </c>
      <c r="C120">
        <v>11040</v>
      </c>
      <c r="D120">
        <v>196423</v>
      </c>
      <c r="E120">
        <v>1211</v>
      </c>
      <c r="F120">
        <v>-8419</v>
      </c>
      <c r="G120">
        <v>305704</v>
      </c>
      <c r="H120">
        <v>41321</v>
      </c>
      <c r="I120">
        <f t="shared" si="7"/>
        <v>592941</v>
      </c>
      <c r="J120">
        <f t="shared" si="8"/>
        <v>197634</v>
      </c>
      <c r="K120">
        <f t="shared" si="9"/>
        <v>347025</v>
      </c>
      <c r="L120">
        <v>255179</v>
      </c>
      <c r="M120">
        <v>226643</v>
      </c>
      <c r="N120">
        <f t="shared" si="10"/>
        <v>1166136</v>
      </c>
      <c r="O120" t="str">
        <f t="shared" si="11"/>
        <v>1990Q3</v>
      </c>
      <c r="P120">
        <f t="shared" si="12"/>
        <v>3</v>
      </c>
      <c r="Q120">
        <v>1132237</v>
      </c>
      <c r="R120">
        <v>677</v>
      </c>
      <c r="S120">
        <f t="shared" si="13"/>
        <v>-33899</v>
      </c>
    </row>
    <row r="121" spans="1:19" x14ac:dyDescent="0.35">
      <c r="A121" s="1">
        <v>33147</v>
      </c>
      <c r="B121">
        <v>579868</v>
      </c>
      <c r="C121">
        <v>11156</v>
      </c>
      <c r="D121">
        <v>187980</v>
      </c>
      <c r="E121">
        <v>1155</v>
      </c>
      <c r="F121">
        <v>-7196</v>
      </c>
      <c r="G121">
        <v>309111</v>
      </c>
      <c r="H121">
        <v>41240</v>
      </c>
      <c r="I121">
        <f t="shared" si="7"/>
        <v>591024</v>
      </c>
      <c r="J121">
        <f t="shared" si="8"/>
        <v>189135</v>
      </c>
      <c r="K121">
        <f t="shared" si="9"/>
        <v>350351</v>
      </c>
      <c r="L121">
        <v>248406</v>
      </c>
      <c r="M121">
        <v>223608</v>
      </c>
      <c r="N121">
        <f t="shared" si="10"/>
        <v>1155308</v>
      </c>
      <c r="O121" t="str">
        <f t="shared" si="11"/>
        <v>1990Q4</v>
      </c>
      <c r="P121">
        <f t="shared" si="12"/>
        <v>4</v>
      </c>
      <c r="Q121">
        <v>1124490</v>
      </c>
      <c r="R121">
        <v>895</v>
      </c>
      <c r="S121">
        <f t="shared" si="13"/>
        <v>-30818</v>
      </c>
    </row>
    <row r="122" spans="1:19" x14ac:dyDescent="0.35">
      <c r="A122" s="1">
        <v>33239</v>
      </c>
      <c r="B122">
        <v>567778</v>
      </c>
      <c r="C122">
        <v>11425</v>
      </c>
      <c r="D122">
        <v>189096</v>
      </c>
      <c r="E122">
        <v>1198</v>
      </c>
      <c r="F122">
        <v>-3682</v>
      </c>
      <c r="G122">
        <v>307509</v>
      </c>
      <c r="H122">
        <v>42005</v>
      </c>
      <c r="I122">
        <f t="shared" si="7"/>
        <v>579203</v>
      </c>
      <c r="J122">
        <f t="shared" si="8"/>
        <v>190294</v>
      </c>
      <c r="K122">
        <f t="shared" si="9"/>
        <v>349514</v>
      </c>
      <c r="L122">
        <v>243338</v>
      </c>
      <c r="M122">
        <v>224153</v>
      </c>
      <c r="N122">
        <f t="shared" si="10"/>
        <v>1138196</v>
      </c>
      <c r="O122" t="str">
        <f t="shared" si="11"/>
        <v>1991Q1</v>
      </c>
      <c r="P122">
        <f t="shared" si="12"/>
        <v>1</v>
      </c>
      <c r="Q122">
        <v>1112392</v>
      </c>
      <c r="R122">
        <v>-443</v>
      </c>
      <c r="S122">
        <f t="shared" si="13"/>
        <v>-25804</v>
      </c>
    </row>
    <row r="123" spans="1:19" x14ac:dyDescent="0.35">
      <c r="A123" s="1">
        <v>33329</v>
      </c>
      <c r="B123">
        <v>577298</v>
      </c>
      <c r="C123">
        <v>11653</v>
      </c>
      <c r="D123">
        <v>185572</v>
      </c>
      <c r="E123">
        <v>1202</v>
      </c>
      <c r="F123">
        <v>-16702</v>
      </c>
      <c r="G123">
        <v>313289</v>
      </c>
      <c r="H123">
        <v>42890</v>
      </c>
      <c r="I123">
        <f t="shared" si="7"/>
        <v>588951</v>
      </c>
      <c r="J123">
        <f t="shared" si="8"/>
        <v>186774</v>
      </c>
      <c r="K123">
        <f t="shared" si="9"/>
        <v>356179</v>
      </c>
      <c r="L123">
        <v>254099</v>
      </c>
      <c r="M123">
        <v>228475</v>
      </c>
      <c r="N123">
        <f t="shared" si="10"/>
        <v>1157528</v>
      </c>
      <c r="O123" t="str">
        <f t="shared" si="11"/>
        <v>1991Q2</v>
      </c>
      <c r="P123">
        <f t="shared" si="12"/>
        <v>2</v>
      </c>
      <c r="Q123">
        <v>1125241</v>
      </c>
      <c r="R123">
        <v>-770</v>
      </c>
      <c r="S123">
        <f t="shared" si="13"/>
        <v>-32287</v>
      </c>
    </row>
    <row r="124" spans="1:19" x14ac:dyDescent="0.35">
      <c r="A124" s="1">
        <v>33420</v>
      </c>
      <c r="B124">
        <v>576775</v>
      </c>
      <c r="C124">
        <v>11892</v>
      </c>
      <c r="D124">
        <v>186387</v>
      </c>
      <c r="E124">
        <v>1300</v>
      </c>
      <c r="F124">
        <v>-10624</v>
      </c>
      <c r="G124">
        <v>311016</v>
      </c>
      <c r="H124">
        <v>42709</v>
      </c>
      <c r="I124">
        <f t="shared" si="7"/>
        <v>588667</v>
      </c>
      <c r="J124">
        <f t="shared" si="8"/>
        <v>187687</v>
      </c>
      <c r="K124">
        <f t="shared" si="9"/>
        <v>353725</v>
      </c>
      <c r="L124">
        <v>263847</v>
      </c>
      <c r="M124">
        <v>239050</v>
      </c>
      <c r="N124">
        <f t="shared" si="10"/>
        <v>1154876</v>
      </c>
      <c r="O124" t="str">
        <f t="shared" si="11"/>
        <v>1991Q3</v>
      </c>
      <c r="P124">
        <f t="shared" si="12"/>
        <v>3</v>
      </c>
      <c r="Q124">
        <v>1123751</v>
      </c>
      <c r="R124">
        <v>-2110</v>
      </c>
      <c r="S124">
        <f t="shared" si="13"/>
        <v>-31125</v>
      </c>
    </row>
    <row r="125" spans="1:19" x14ac:dyDescent="0.35">
      <c r="A125" s="1">
        <v>33512</v>
      </c>
      <c r="B125">
        <v>580023</v>
      </c>
      <c r="C125">
        <v>12073</v>
      </c>
      <c r="D125">
        <v>188664</v>
      </c>
      <c r="E125">
        <v>1398</v>
      </c>
      <c r="F125">
        <v>-11505</v>
      </c>
      <c r="G125">
        <v>313447</v>
      </c>
      <c r="H125">
        <v>43533</v>
      </c>
      <c r="I125">
        <f t="shared" si="7"/>
        <v>592096</v>
      </c>
      <c r="J125">
        <f t="shared" si="8"/>
        <v>190062</v>
      </c>
      <c r="K125">
        <f t="shared" si="9"/>
        <v>356980</v>
      </c>
      <c r="L125">
        <v>263412</v>
      </c>
      <c r="M125">
        <v>243633</v>
      </c>
      <c r="N125">
        <f t="shared" si="10"/>
        <v>1158917</v>
      </c>
      <c r="O125" t="str">
        <f t="shared" si="11"/>
        <v>1991Q4</v>
      </c>
      <c r="P125">
        <f t="shared" si="12"/>
        <v>4</v>
      </c>
      <c r="Q125">
        <v>1132632</v>
      </c>
      <c r="R125">
        <v>-2198</v>
      </c>
      <c r="S125">
        <f t="shared" si="13"/>
        <v>-26285</v>
      </c>
    </row>
    <row r="126" spans="1:19" x14ac:dyDescent="0.35">
      <c r="A126" s="1">
        <v>33604</v>
      </c>
      <c r="B126">
        <v>580016</v>
      </c>
      <c r="C126">
        <v>12262</v>
      </c>
      <c r="D126">
        <v>187834</v>
      </c>
      <c r="E126">
        <v>1349</v>
      </c>
      <c r="F126">
        <v>-11775</v>
      </c>
      <c r="G126">
        <v>313952</v>
      </c>
      <c r="H126">
        <v>42791</v>
      </c>
      <c r="I126">
        <f t="shared" si="7"/>
        <v>592278</v>
      </c>
      <c r="J126">
        <f t="shared" si="8"/>
        <v>189183</v>
      </c>
      <c r="K126">
        <f t="shared" si="9"/>
        <v>356743</v>
      </c>
      <c r="L126">
        <v>265729</v>
      </c>
      <c r="M126">
        <v>243333</v>
      </c>
      <c r="N126">
        <f t="shared" si="10"/>
        <v>1160600</v>
      </c>
      <c r="O126" t="str">
        <f t="shared" si="11"/>
        <v>1992Q1</v>
      </c>
      <c r="P126">
        <f t="shared" si="12"/>
        <v>1</v>
      </c>
      <c r="Q126">
        <v>1131720</v>
      </c>
      <c r="R126">
        <v>-3050</v>
      </c>
      <c r="S126">
        <f t="shared" si="13"/>
        <v>-28880</v>
      </c>
    </row>
    <row r="127" spans="1:19" x14ac:dyDescent="0.35">
      <c r="A127" s="1">
        <v>33695</v>
      </c>
      <c r="B127">
        <v>582263</v>
      </c>
      <c r="C127">
        <v>12458</v>
      </c>
      <c r="D127">
        <v>178541</v>
      </c>
      <c r="E127">
        <v>1319</v>
      </c>
      <c r="F127">
        <v>-8782</v>
      </c>
      <c r="G127">
        <v>312184</v>
      </c>
      <c r="H127">
        <v>42533</v>
      </c>
      <c r="I127">
        <f t="shared" si="7"/>
        <v>594721</v>
      </c>
      <c r="J127">
        <f t="shared" si="8"/>
        <v>179860</v>
      </c>
      <c r="K127">
        <f t="shared" si="9"/>
        <v>354717</v>
      </c>
      <c r="L127">
        <v>273246</v>
      </c>
      <c r="M127">
        <v>245926</v>
      </c>
      <c r="N127">
        <f t="shared" si="10"/>
        <v>1156618</v>
      </c>
      <c r="O127" t="str">
        <f t="shared" si="11"/>
        <v>1992Q2</v>
      </c>
      <c r="P127">
        <f t="shared" si="12"/>
        <v>2</v>
      </c>
      <c r="Q127">
        <v>1123592</v>
      </c>
      <c r="R127">
        <v>-1469</v>
      </c>
      <c r="S127">
        <f t="shared" si="13"/>
        <v>-33026</v>
      </c>
    </row>
    <row r="128" spans="1:19" x14ac:dyDescent="0.35">
      <c r="A128" s="1">
        <v>33786</v>
      </c>
      <c r="B128">
        <v>585354</v>
      </c>
      <c r="C128">
        <v>12545</v>
      </c>
      <c r="D128">
        <v>183356</v>
      </c>
      <c r="E128">
        <v>1309</v>
      </c>
      <c r="F128">
        <v>-9529</v>
      </c>
      <c r="G128">
        <v>312118</v>
      </c>
      <c r="H128">
        <v>42210</v>
      </c>
      <c r="I128">
        <f t="shared" si="7"/>
        <v>597899</v>
      </c>
      <c r="J128">
        <f t="shared" si="8"/>
        <v>184665</v>
      </c>
      <c r="K128">
        <f t="shared" si="9"/>
        <v>354328</v>
      </c>
      <c r="L128">
        <v>277420</v>
      </c>
      <c r="M128">
        <v>250009</v>
      </c>
      <c r="N128">
        <f t="shared" si="10"/>
        <v>1164303</v>
      </c>
      <c r="O128" t="str">
        <f t="shared" si="11"/>
        <v>1992Q3</v>
      </c>
      <c r="P128">
        <f t="shared" si="12"/>
        <v>3</v>
      </c>
      <c r="Q128">
        <v>1131260</v>
      </c>
      <c r="R128">
        <v>-1711</v>
      </c>
      <c r="S128">
        <f t="shared" si="13"/>
        <v>-33043</v>
      </c>
    </row>
    <row r="129" spans="1:19" x14ac:dyDescent="0.35">
      <c r="A129" s="1">
        <v>33878</v>
      </c>
      <c r="B129">
        <v>587468</v>
      </c>
      <c r="C129">
        <v>12621</v>
      </c>
      <c r="D129">
        <v>175124</v>
      </c>
      <c r="E129">
        <v>1315</v>
      </c>
      <c r="F129">
        <v>-14787</v>
      </c>
      <c r="G129">
        <v>317134</v>
      </c>
      <c r="H129">
        <v>41044</v>
      </c>
      <c r="I129">
        <f t="shared" si="7"/>
        <v>600089</v>
      </c>
      <c r="J129">
        <f t="shared" si="8"/>
        <v>176439</v>
      </c>
      <c r="K129">
        <f t="shared" si="9"/>
        <v>358178</v>
      </c>
      <c r="L129">
        <v>285010</v>
      </c>
      <c r="M129">
        <v>244810</v>
      </c>
      <c r="N129">
        <f t="shared" si="10"/>
        <v>1174906</v>
      </c>
      <c r="O129" t="str">
        <f t="shared" si="11"/>
        <v>1992Q4</v>
      </c>
      <c r="P129">
        <f t="shared" si="12"/>
        <v>4</v>
      </c>
      <c r="Q129">
        <v>1128995</v>
      </c>
      <c r="R129">
        <v>-2240</v>
      </c>
      <c r="S129">
        <f t="shared" si="13"/>
        <v>-45911</v>
      </c>
    </row>
    <row r="130" spans="1:19" x14ac:dyDescent="0.35">
      <c r="A130" s="1">
        <v>33970</v>
      </c>
      <c r="B130">
        <v>590654</v>
      </c>
      <c r="C130">
        <v>12643</v>
      </c>
      <c r="D130">
        <v>171363</v>
      </c>
      <c r="E130">
        <v>1358</v>
      </c>
      <c r="F130">
        <v>-6973</v>
      </c>
      <c r="G130">
        <v>314100</v>
      </c>
      <c r="H130">
        <v>42385</v>
      </c>
      <c r="I130">
        <f t="shared" si="7"/>
        <v>603297</v>
      </c>
      <c r="J130">
        <f t="shared" si="8"/>
        <v>172721</v>
      </c>
      <c r="K130">
        <f t="shared" si="9"/>
        <v>356485</v>
      </c>
      <c r="L130">
        <v>295333</v>
      </c>
      <c r="M130">
        <v>255921</v>
      </c>
      <c r="N130">
        <f t="shared" si="10"/>
        <v>1171915</v>
      </c>
      <c r="O130" t="str">
        <f t="shared" si="11"/>
        <v>1993Q1</v>
      </c>
      <c r="P130">
        <f t="shared" si="12"/>
        <v>1</v>
      </c>
      <c r="Q130">
        <v>1127508</v>
      </c>
      <c r="R130">
        <v>759</v>
      </c>
      <c r="S130">
        <f t="shared" si="13"/>
        <v>-44407</v>
      </c>
    </row>
    <row r="131" spans="1:19" x14ac:dyDescent="0.35">
      <c r="A131" s="1">
        <v>34060</v>
      </c>
      <c r="B131">
        <v>592891</v>
      </c>
      <c r="C131">
        <v>12605</v>
      </c>
      <c r="D131">
        <v>176098</v>
      </c>
      <c r="E131">
        <v>1392</v>
      </c>
      <c r="F131">
        <v>-4258</v>
      </c>
      <c r="G131">
        <v>315441</v>
      </c>
      <c r="H131">
        <v>42703</v>
      </c>
      <c r="I131">
        <f t="shared" ref="I131:I194" si="14">B131+C131</f>
        <v>605496</v>
      </c>
      <c r="J131">
        <f t="shared" ref="J131:J194" si="15">D131+E131</f>
        <v>177490</v>
      </c>
      <c r="K131">
        <f t="shared" ref="K131:K194" si="16">G131+H131</f>
        <v>358144</v>
      </c>
      <c r="L131">
        <v>303793</v>
      </c>
      <c r="M131">
        <v>263966</v>
      </c>
      <c r="N131">
        <f t="shared" ref="N131:N194" si="17">SUM(I131:L131)-M131</f>
        <v>1180957</v>
      </c>
      <c r="O131" t="str">
        <f t="shared" ref="O131:O194" si="18">TEXT(A131,"yyyy") &amp; "Q" &amp; P131</f>
        <v>1993Q2</v>
      </c>
      <c r="P131">
        <f t="shared" ref="P131:P194" si="19">ROUNDUP(MONTH(A131)/3,0)</f>
        <v>2</v>
      </c>
      <c r="Q131">
        <v>1135927</v>
      </c>
      <c r="R131">
        <v>509</v>
      </c>
      <c r="S131">
        <f t="shared" ref="S131:S194" si="20">Q131-N131</f>
        <v>-45030</v>
      </c>
    </row>
    <row r="132" spans="1:19" x14ac:dyDescent="0.35">
      <c r="A132" s="1">
        <v>34151</v>
      </c>
      <c r="B132">
        <v>596952</v>
      </c>
      <c r="C132">
        <v>12545</v>
      </c>
      <c r="D132">
        <v>180807</v>
      </c>
      <c r="E132">
        <v>1429</v>
      </c>
      <c r="F132">
        <v>2522</v>
      </c>
      <c r="G132">
        <v>311795</v>
      </c>
      <c r="H132">
        <v>42691</v>
      </c>
      <c r="I132">
        <f t="shared" si="14"/>
        <v>609497</v>
      </c>
      <c r="J132">
        <f t="shared" si="15"/>
        <v>182236</v>
      </c>
      <c r="K132">
        <f t="shared" si="16"/>
        <v>354486</v>
      </c>
      <c r="L132">
        <v>306126</v>
      </c>
      <c r="M132">
        <v>265491</v>
      </c>
      <c r="N132">
        <f t="shared" si="17"/>
        <v>1186854</v>
      </c>
      <c r="O132" t="str">
        <f t="shared" si="18"/>
        <v>1993Q3</v>
      </c>
      <c r="P132">
        <f t="shared" si="19"/>
        <v>3</v>
      </c>
      <c r="Q132">
        <v>1141602</v>
      </c>
      <c r="R132">
        <v>-2284</v>
      </c>
      <c r="S132">
        <f t="shared" si="20"/>
        <v>-45252</v>
      </c>
    </row>
    <row r="133" spans="1:19" x14ac:dyDescent="0.35">
      <c r="A133" s="1">
        <v>34243</v>
      </c>
      <c r="B133">
        <v>598632</v>
      </c>
      <c r="C133">
        <v>12409</v>
      </c>
      <c r="D133">
        <v>184272</v>
      </c>
      <c r="E133">
        <v>1481</v>
      </c>
      <c r="F133">
        <v>1091</v>
      </c>
      <c r="G133">
        <v>311541</v>
      </c>
      <c r="H133">
        <v>42232</v>
      </c>
      <c r="I133">
        <f t="shared" si="14"/>
        <v>611041</v>
      </c>
      <c r="J133">
        <f t="shared" si="15"/>
        <v>185753</v>
      </c>
      <c r="K133">
        <f t="shared" si="16"/>
        <v>353773</v>
      </c>
      <c r="L133">
        <v>315043</v>
      </c>
      <c r="M133">
        <v>272434</v>
      </c>
      <c r="N133">
        <f t="shared" si="17"/>
        <v>1193176</v>
      </c>
      <c r="O133" t="str">
        <f t="shared" si="18"/>
        <v>1993Q4</v>
      </c>
      <c r="P133">
        <f t="shared" si="19"/>
        <v>4</v>
      </c>
      <c r="Q133">
        <v>1145986</v>
      </c>
      <c r="R133">
        <v>-1127</v>
      </c>
      <c r="S133">
        <f t="shared" si="20"/>
        <v>-47190</v>
      </c>
    </row>
    <row r="134" spans="1:19" x14ac:dyDescent="0.35">
      <c r="A134" s="1">
        <v>34335</v>
      </c>
      <c r="B134">
        <v>608864</v>
      </c>
      <c r="C134">
        <v>12164</v>
      </c>
      <c r="D134">
        <v>186604</v>
      </c>
      <c r="E134">
        <v>1424</v>
      </c>
      <c r="F134">
        <v>3066</v>
      </c>
      <c r="G134">
        <v>307003</v>
      </c>
      <c r="H134">
        <v>42921</v>
      </c>
      <c r="I134">
        <f t="shared" si="14"/>
        <v>621028</v>
      </c>
      <c r="J134">
        <f t="shared" si="15"/>
        <v>188028</v>
      </c>
      <c r="K134">
        <f t="shared" si="16"/>
        <v>349924</v>
      </c>
      <c r="L134">
        <v>317103</v>
      </c>
      <c r="M134">
        <v>272298</v>
      </c>
      <c r="N134">
        <f t="shared" si="17"/>
        <v>1203785</v>
      </c>
      <c r="O134" t="str">
        <f t="shared" si="18"/>
        <v>1994Q1</v>
      </c>
      <c r="P134">
        <f t="shared" si="19"/>
        <v>1</v>
      </c>
      <c r="Q134">
        <v>1155600</v>
      </c>
      <c r="R134">
        <v>1922</v>
      </c>
      <c r="S134">
        <f t="shared" si="20"/>
        <v>-48185</v>
      </c>
    </row>
    <row r="135" spans="1:19" x14ac:dyDescent="0.35">
      <c r="A135" s="1">
        <v>34425</v>
      </c>
      <c r="B135">
        <v>609771</v>
      </c>
      <c r="C135">
        <v>12229</v>
      </c>
      <c r="D135">
        <v>193586</v>
      </c>
      <c r="E135">
        <v>1452</v>
      </c>
      <c r="F135">
        <v>2718</v>
      </c>
      <c r="G135">
        <v>310889</v>
      </c>
      <c r="H135">
        <v>43111</v>
      </c>
      <c r="I135">
        <f t="shared" si="14"/>
        <v>622000</v>
      </c>
      <c r="J135">
        <f t="shared" si="15"/>
        <v>195038</v>
      </c>
      <c r="K135">
        <f t="shared" si="16"/>
        <v>354000</v>
      </c>
      <c r="L135">
        <v>339637</v>
      </c>
      <c r="M135">
        <v>284839</v>
      </c>
      <c r="N135">
        <f t="shared" si="17"/>
        <v>1225836</v>
      </c>
      <c r="O135" t="str">
        <f t="shared" si="18"/>
        <v>1994Q2</v>
      </c>
      <c r="P135">
        <f t="shared" si="19"/>
        <v>2</v>
      </c>
      <c r="Q135">
        <v>1167037</v>
      </c>
      <c r="R135">
        <v>-1086</v>
      </c>
      <c r="S135">
        <f t="shared" si="20"/>
        <v>-58799</v>
      </c>
    </row>
    <row r="136" spans="1:19" x14ac:dyDescent="0.35">
      <c r="A136" s="1">
        <v>34516</v>
      </c>
      <c r="B136">
        <v>612418</v>
      </c>
      <c r="C136">
        <v>12300</v>
      </c>
      <c r="D136">
        <v>192475</v>
      </c>
      <c r="E136">
        <v>1470</v>
      </c>
      <c r="F136">
        <v>1467</v>
      </c>
      <c r="G136">
        <v>311184</v>
      </c>
      <c r="H136">
        <v>44405</v>
      </c>
      <c r="I136">
        <f t="shared" si="14"/>
        <v>624718</v>
      </c>
      <c r="J136">
        <f t="shared" si="15"/>
        <v>193945</v>
      </c>
      <c r="K136">
        <f t="shared" si="16"/>
        <v>355589</v>
      </c>
      <c r="L136">
        <v>353026</v>
      </c>
      <c r="M136">
        <v>287465</v>
      </c>
      <c r="N136">
        <f t="shared" si="17"/>
        <v>1239813</v>
      </c>
      <c r="O136" t="str">
        <f t="shared" si="18"/>
        <v>1994Q3</v>
      </c>
      <c r="P136">
        <f t="shared" si="19"/>
        <v>3</v>
      </c>
      <c r="Q136">
        <v>1170350</v>
      </c>
      <c r="R136">
        <v>347</v>
      </c>
      <c r="S136">
        <f t="shared" si="20"/>
        <v>-69463</v>
      </c>
    </row>
    <row r="137" spans="1:19" x14ac:dyDescent="0.35">
      <c r="A137" s="1">
        <v>34608</v>
      </c>
      <c r="B137">
        <v>619542</v>
      </c>
      <c r="C137">
        <v>12480</v>
      </c>
      <c r="D137">
        <v>193316</v>
      </c>
      <c r="E137">
        <v>1480</v>
      </c>
      <c r="F137">
        <v>3096</v>
      </c>
      <c r="G137">
        <v>309573</v>
      </c>
      <c r="H137">
        <v>45255</v>
      </c>
      <c r="I137">
        <f t="shared" si="14"/>
        <v>632022</v>
      </c>
      <c r="J137">
        <f t="shared" si="15"/>
        <v>194796</v>
      </c>
      <c r="K137">
        <f t="shared" si="16"/>
        <v>354828</v>
      </c>
      <c r="L137">
        <v>367014</v>
      </c>
      <c r="M137">
        <v>301101</v>
      </c>
      <c r="N137">
        <f t="shared" si="17"/>
        <v>1247559</v>
      </c>
      <c r="O137" t="str">
        <f t="shared" si="18"/>
        <v>1994Q4</v>
      </c>
      <c r="P137">
        <f t="shared" si="19"/>
        <v>4</v>
      </c>
      <c r="Q137">
        <v>1178414</v>
      </c>
      <c r="R137">
        <v>1151</v>
      </c>
      <c r="S137">
        <f t="shared" si="20"/>
        <v>-69145</v>
      </c>
    </row>
    <row r="138" spans="1:19" x14ac:dyDescent="0.35">
      <c r="A138" s="1">
        <v>34700</v>
      </c>
      <c r="B138">
        <v>619235</v>
      </c>
      <c r="C138">
        <v>12545</v>
      </c>
      <c r="D138">
        <v>188948</v>
      </c>
      <c r="E138">
        <v>1556</v>
      </c>
      <c r="F138">
        <v>10067</v>
      </c>
      <c r="G138">
        <v>309216</v>
      </c>
      <c r="H138">
        <v>43552</v>
      </c>
      <c r="I138">
        <f t="shared" si="14"/>
        <v>631780</v>
      </c>
      <c r="J138">
        <f t="shared" si="15"/>
        <v>190504</v>
      </c>
      <c r="K138">
        <f t="shared" si="16"/>
        <v>352768</v>
      </c>
      <c r="L138">
        <v>377157</v>
      </c>
      <c r="M138">
        <v>301160</v>
      </c>
      <c r="N138">
        <f t="shared" si="17"/>
        <v>1251049</v>
      </c>
      <c r="O138" t="str">
        <f t="shared" si="18"/>
        <v>1995Q1</v>
      </c>
      <c r="P138">
        <f t="shared" si="19"/>
        <v>1</v>
      </c>
      <c r="Q138">
        <v>1172057</v>
      </c>
      <c r="R138">
        <v>-1143</v>
      </c>
      <c r="S138">
        <f t="shared" si="20"/>
        <v>-78992</v>
      </c>
    </row>
    <row r="139" spans="1:19" x14ac:dyDescent="0.35">
      <c r="A139" s="1">
        <v>34790</v>
      </c>
      <c r="B139">
        <v>623835</v>
      </c>
      <c r="C139">
        <v>12790</v>
      </c>
      <c r="D139">
        <v>188629</v>
      </c>
      <c r="E139">
        <v>1545</v>
      </c>
      <c r="F139">
        <v>16914</v>
      </c>
      <c r="G139">
        <v>308306</v>
      </c>
      <c r="H139">
        <v>43326</v>
      </c>
      <c r="I139">
        <f t="shared" si="14"/>
        <v>636625</v>
      </c>
      <c r="J139">
        <f t="shared" si="15"/>
        <v>190174</v>
      </c>
      <c r="K139">
        <f t="shared" si="16"/>
        <v>351632</v>
      </c>
      <c r="L139">
        <v>369008</v>
      </c>
      <c r="M139">
        <v>303572</v>
      </c>
      <c r="N139">
        <f t="shared" si="17"/>
        <v>1243867</v>
      </c>
      <c r="O139" t="str">
        <f t="shared" si="18"/>
        <v>1995Q2</v>
      </c>
      <c r="P139">
        <f t="shared" si="19"/>
        <v>2</v>
      </c>
      <c r="Q139">
        <v>1175936</v>
      </c>
      <c r="R139">
        <v>790</v>
      </c>
      <c r="S139">
        <f t="shared" si="20"/>
        <v>-67931</v>
      </c>
    </row>
    <row r="140" spans="1:19" x14ac:dyDescent="0.35">
      <c r="A140" s="1">
        <v>34881</v>
      </c>
      <c r="B140">
        <v>630445</v>
      </c>
      <c r="C140">
        <v>13111</v>
      </c>
      <c r="D140">
        <v>187644</v>
      </c>
      <c r="E140">
        <v>1558</v>
      </c>
      <c r="F140">
        <v>13111</v>
      </c>
      <c r="G140">
        <v>305815</v>
      </c>
      <c r="H140">
        <v>43748</v>
      </c>
      <c r="I140">
        <f t="shared" si="14"/>
        <v>643556</v>
      </c>
      <c r="J140">
        <f t="shared" si="15"/>
        <v>189202</v>
      </c>
      <c r="K140">
        <f t="shared" si="16"/>
        <v>349563</v>
      </c>
      <c r="L140">
        <v>369390</v>
      </c>
      <c r="M140">
        <v>302222</v>
      </c>
      <c r="N140">
        <f t="shared" si="17"/>
        <v>1249489</v>
      </c>
      <c r="O140" t="str">
        <f t="shared" si="18"/>
        <v>1995Q3</v>
      </c>
      <c r="P140">
        <f t="shared" si="19"/>
        <v>3</v>
      </c>
      <c r="Q140">
        <v>1180693</v>
      </c>
      <c r="R140">
        <v>-218</v>
      </c>
      <c r="S140">
        <f t="shared" si="20"/>
        <v>-68796</v>
      </c>
    </row>
    <row r="141" spans="1:19" x14ac:dyDescent="0.35">
      <c r="A141" s="1">
        <v>34973</v>
      </c>
      <c r="B141">
        <v>630421</v>
      </c>
      <c r="C141">
        <v>13367</v>
      </c>
      <c r="D141">
        <v>188317</v>
      </c>
      <c r="E141">
        <v>1571</v>
      </c>
      <c r="F141">
        <v>6851</v>
      </c>
      <c r="G141">
        <v>303017</v>
      </c>
      <c r="H141">
        <v>44190</v>
      </c>
      <c r="I141">
        <f t="shared" si="14"/>
        <v>643788</v>
      </c>
      <c r="J141">
        <f t="shared" si="15"/>
        <v>189888</v>
      </c>
      <c r="K141">
        <f t="shared" si="16"/>
        <v>347207</v>
      </c>
      <c r="L141">
        <v>383332</v>
      </c>
      <c r="M141">
        <v>305453</v>
      </c>
      <c r="N141">
        <f t="shared" si="17"/>
        <v>1258762</v>
      </c>
      <c r="O141" t="str">
        <f t="shared" si="18"/>
        <v>1995Q4</v>
      </c>
      <c r="P141">
        <f t="shared" si="19"/>
        <v>4</v>
      </c>
      <c r="Q141">
        <v>1179599</v>
      </c>
      <c r="R141">
        <v>573</v>
      </c>
      <c r="S141">
        <f t="shared" si="20"/>
        <v>-79163</v>
      </c>
    </row>
    <row r="142" spans="1:19" x14ac:dyDescent="0.35">
      <c r="A142" s="1">
        <v>35065</v>
      </c>
      <c r="B142">
        <v>638799</v>
      </c>
      <c r="C142">
        <v>13781</v>
      </c>
      <c r="D142">
        <v>193916</v>
      </c>
      <c r="E142">
        <v>1606</v>
      </c>
      <c r="F142">
        <v>2236</v>
      </c>
      <c r="G142">
        <v>303238</v>
      </c>
      <c r="H142">
        <v>43663</v>
      </c>
      <c r="I142">
        <f t="shared" si="14"/>
        <v>652580</v>
      </c>
      <c r="J142">
        <f t="shared" si="15"/>
        <v>195522</v>
      </c>
      <c r="K142">
        <f t="shared" si="16"/>
        <v>346901</v>
      </c>
      <c r="L142">
        <v>384408</v>
      </c>
      <c r="M142">
        <v>312064</v>
      </c>
      <c r="N142">
        <f t="shared" si="17"/>
        <v>1267347</v>
      </c>
      <c r="O142" t="str">
        <f t="shared" si="18"/>
        <v>1996Q1</v>
      </c>
      <c r="P142">
        <f t="shared" si="19"/>
        <v>1</v>
      </c>
      <c r="Q142">
        <v>1194189</v>
      </c>
      <c r="R142">
        <v>397</v>
      </c>
      <c r="S142">
        <f t="shared" si="20"/>
        <v>-73158</v>
      </c>
    </row>
    <row r="143" spans="1:19" x14ac:dyDescent="0.35">
      <c r="A143" s="1">
        <v>35156</v>
      </c>
      <c r="B143">
        <v>639579</v>
      </c>
      <c r="C143">
        <v>14238</v>
      </c>
      <c r="D143">
        <v>194939</v>
      </c>
      <c r="E143">
        <v>1669</v>
      </c>
      <c r="F143">
        <v>-6982</v>
      </c>
      <c r="G143">
        <v>303211</v>
      </c>
      <c r="H143">
        <v>42597</v>
      </c>
      <c r="I143">
        <f t="shared" si="14"/>
        <v>653817</v>
      </c>
      <c r="J143">
        <f t="shared" si="15"/>
        <v>196608</v>
      </c>
      <c r="K143">
        <f t="shared" si="16"/>
        <v>345808</v>
      </c>
      <c r="L143">
        <v>399326</v>
      </c>
      <c r="M143">
        <v>311577</v>
      </c>
      <c r="N143">
        <f t="shared" si="17"/>
        <v>1283982</v>
      </c>
      <c r="O143" t="str">
        <f t="shared" si="18"/>
        <v>1996Q2</v>
      </c>
      <c r="P143">
        <f t="shared" si="19"/>
        <v>2</v>
      </c>
      <c r="Q143">
        <v>1195562</v>
      </c>
      <c r="R143">
        <v>168</v>
      </c>
      <c r="S143">
        <f t="shared" si="20"/>
        <v>-88420</v>
      </c>
    </row>
    <row r="144" spans="1:19" x14ac:dyDescent="0.35">
      <c r="A144" s="1">
        <v>35247</v>
      </c>
      <c r="B144">
        <v>641612</v>
      </c>
      <c r="C144">
        <v>14957</v>
      </c>
      <c r="D144">
        <v>204646</v>
      </c>
      <c r="E144">
        <v>1658</v>
      </c>
      <c r="F144">
        <v>2043</v>
      </c>
      <c r="G144">
        <v>298582</v>
      </c>
      <c r="H144">
        <v>42596</v>
      </c>
      <c r="I144">
        <f t="shared" si="14"/>
        <v>656569</v>
      </c>
      <c r="J144">
        <f t="shared" si="15"/>
        <v>206304</v>
      </c>
      <c r="K144">
        <f t="shared" si="16"/>
        <v>341178</v>
      </c>
      <c r="L144">
        <v>407651</v>
      </c>
      <c r="M144">
        <v>323611</v>
      </c>
      <c r="N144">
        <f t="shared" si="17"/>
        <v>1288091</v>
      </c>
      <c r="O144" t="str">
        <f t="shared" si="18"/>
        <v>1996Q3</v>
      </c>
      <c r="P144">
        <f t="shared" si="19"/>
        <v>3</v>
      </c>
      <c r="Q144">
        <v>1203845</v>
      </c>
      <c r="R144">
        <v>-1454</v>
      </c>
      <c r="S144">
        <f t="shared" si="20"/>
        <v>-84246</v>
      </c>
    </row>
    <row r="145" spans="1:19" x14ac:dyDescent="0.35">
      <c r="A145" s="1">
        <v>35339</v>
      </c>
      <c r="B145">
        <v>652710</v>
      </c>
      <c r="C145">
        <v>15883</v>
      </c>
      <c r="D145">
        <v>217294</v>
      </c>
      <c r="E145">
        <v>1609</v>
      </c>
      <c r="F145">
        <v>9423</v>
      </c>
      <c r="G145">
        <v>297912</v>
      </c>
      <c r="H145">
        <v>41769</v>
      </c>
      <c r="I145">
        <f t="shared" si="14"/>
        <v>668593</v>
      </c>
      <c r="J145">
        <f t="shared" si="15"/>
        <v>218903</v>
      </c>
      <c r="K145">
        <f t="shared" si="16"/>
        <v>339681</v>
      </c>
      <c r="L145">
        <v>396761</v>
      </c>
      <c r="M145">
        <v>330574</v>
      </c>
      <c r="N145">
        <f t="shared" si="17"/>
        <v>1293364</v>
      </c>
      <c r="O145" t="str">
        <f t="shared" si="18"/>
        <v>1996Q4</v>
      </c>
      <c r="P145">
        <f t="shared" si="19"/>
        <v>4</v>
      </c>
      <c r="Q145">
        <v>1227521</v>
      </c>
      <c r="R145">
        <v>-1621</v>
      </c>
      <c r="S145">
        <f t="shared" si="20"/>
        <v>-65843</v>
      </c>
    </row>
    <row r="146" spans="1:19" x14ac:dyDescent="0.35">
      <c r="A146" s="1">
        <v>35431</v>
      </c>
      <c r="B146">
        <v>662959</v>
      </c>
      <c r="C146">
        <v>17233</v>
      </c>
      <c r="D146">
        <v>223476</v>
      </c>
      <c r="E146">
        <v>1817</v>
      </c>
      <c r="F146">
        <v>4944</v>
      </c>
      <c r="G146">
        <v>300334</v>
      </c>
      <c r="H146">
        <v>40135</v>
      </c>
      <c r="I146">
        <f t="shared" si="14"/>
        <v>680192</v>
      </c>
      <c r="J146">
        <f t="shared" si="15"/>
        <v>225293</v>
      </c>
      <c r="K146">
        <f t="shared" si="16"/>
        <v>340469</v>
      </c>
      <c r="L146">
        <v>419228</v>
      </c>
      <c r="M146">
        <v>350712</v>
      </c>
      <c r="N146">
        <f t="shared" si="17"/>
        <v>1314470</v>
      </c>
      <c r="O146" t="str">
        <f t="shared" si="18"/>
        <v>1997Q1</v>
      </c>
      <c r="P146">
        <f t="shared" si="19"/>
        <v>1</v>
      </c>
      <c r="Q146">
        <v>1246625</v>
      </c>
      <c r="R146">
        <v>809</v>
      </c>
      <c r="S146">
        <f t="shared" si="20"/>
        <v>-67845</v>
      </c>
    </row>
    <row r="147" spans="1:19" x14ac:dyDescent="0.35">
      <c r="A147" s="1">
        <v>35521</v>
      </c>
      <c r="B147">
        <v>668084</v>
      </c>
      <c r="C147">
        <v>17970</v>
      </c>
      <c r="D147">
        <v>230996</v>
      </c>
      <c r="E147">
        <v>1710</v>
      </c>
      <c r="F147">
        <v>10625</v>
      </c>
      <c r="G147">
        <v>298101</v>
      </c>
      <c r="H147">
        <v>39873</v>
      </c>
      <c r="I147">
        <f t="shared" si="14"/>
        <v>686054</v>
      </c>
      <c r="J147">
        <f t="shared" si="15"/>
        <v>232706</v>
      </c>
      <c r="K147">
        <f t="shared" si="16"/>
        <v>337974</v>
      </c>
      <c r="L147">
        <v>424556</v>
      </c>
      <c r="M147">
        <v>358495</v>
      </c>
      <c r="N147">
        <f t="shared" si="17"/>
        <v>1322795</v>
      </c>
      <c r="O147" t="str">
        <f t="shared" si="18"/>
        <v>1997Q2</v>
      </c>
      <c r="P147">
        <f t="shared" si="19"/>
        <v>2</v>
      </c>
      <c r="Q147">
        <v>1257818</v>
      </c>
      <c r="R147">
        <v>1829</v>
      </c>
      <c r="S147">
        <f t="shared" si="20"/>
        <v>-64977</v>
      </c>
    </row>
    <row r="148" spans="1:19" x14ac:dyDescent="0.35">
      <c r="A148" s="1">
        <v>35612</v>
      </c>
      <c r="B148">
        <v>676915</v>
      </c>
      <c r="C148">
        <v>18089</v>
      </c>
      <c r="D148">
        <v>238826</v>
      </c>
      <c r="E148">
        <v>1653</v>
      </c>
      <c r="F148">
        <v>13592</v>
      </c>
      <c r="G148">
        <v>298712</v>
      </c>
      <c r="H148">
        <v>40328</v>
      </c>
      <c r="I148">
        <f t="shared" si="14"/>
        <v>695004</v>
      </c>
      <c r="J148">
        <f t="shared" si="15"/>
        <v>240479</v>
      </c>
      <c r="K148">
        <f t="shared" si="16"/>
        <v>339040</v>
      </c>
      <c r="L148">
        <v>436775</v>
      </c>
      <c r="M148">
        <v>373575</v>
      </c>
      <c r="N148">
        <f t="shared" si="17"/>
        <v>1337723</v>
      </c>
      <c r="O148" t="str">
        <f t="shared" si="18"/>
        <v>1997Q3</v>
      </c>
      <c r="P148">
        <f t="shared" si="19"/>
        <v>3</v>
      </c>
      <c r="Q148">
        <v>1275907</v>
      </c>
      <c r="R148">
        <v>1104</v>
      </c>
      <c r="S148">
        <f t="shared" si="20"/>
        <v>-61816</v>
      </c>
    </row>
    <row r="149" spans="1:19" x14ac:dyDescent="0.35">
      <c r="A149" s="1">
        <v>35704</v>
      </c>
      <c r="B149">
        <v>681660</v>
      </c>
      <c r="C149">
        <v>18096</v>
      </c>
      <c r="D149">
        <v>241628</v>
      </c>
      <c r="E149">
        <v>1504</v>
      </c>
      <c r="F149">
        <v>14488</v>
      </c>
      <c r="G149">
        <v>298651</v>
      </c>
      <c r="H149">
        <v>40404</v>
      </c>
      <c r="I149">
        <f t="shared" si="14"/>
        <v>699756</v>
      </c>
      <c r="J149">
        <f t="shared" si="15"/>
        <v>243132</v>
      </c>
      <c r="K149">
        <f t="shared" si="16"/>
        <v>339055</v>
      </c>
      <c r="L149">
        <v>444657</v>
      </c>
      <c r="M149">
        <v>379040</v>
      </c>
      <c r="N149">
        <f t="shared" si="17"/>
        <v>1347560</v>
      </c>
      <c r="O149" t="str">
        <f t="shared" si="18"/>
        <v>1997Q4</v>
      </c>
      <c r="P149">
        <f t="shared" si="19"/>
        <v>4</v>
      </c>
      <c r="Q149">
        <v>1283597</v>
      </c>
      <c r="R149">
        <v>3013</v>
      </c>
      <c r="S149">
        <f t="shared" si="20"/>
        <v>-63963</v>
      </c>
    </row>
    <row r="150" spans="1:19" x14ac:dyDescent="0.35">
      <c r="A150" s="1">
        <v>35796</v>
      </c>
      <c r="B150">
        <v>682363</v>
      </c>
      <c r="C150">
        <v>17820</v>
      </c>
      <c r="D150">
        <v>240959</v>
      </c>
      <c r="E150">
        <v>1307</v>
      </c>
      <c r="F150">
        <v>17358</v>
      </c>
      <c r="G150">
        <v>306684</v>
      </c>
      <c r="H150">
        <v>40709</v>
      </c>
      <c r="I150">
        <f t="shared" si="14"/>
        <v>700183</v>
      </c>
      <c r="J150">
        <f t="shared" si="15"/>
        <v>242266</v>
      </c>
      <c r="K150">
        <f t="shared" si="16"/>
        <v>347393</v>
      </c>
      <c r="L150">
        <v>459134</v>
      </c>
      <c r="M150">
        <v>383823</v>
      </c>
      <c r="N150">
        <f t="shared" si="17"/>
        <v>1365153</v>
      </c>
      <c r="O150" t="str">
        <f t="shared" si="18"/>
        <v>1998Q1</v>
      </c>
      <c r="P150">
        <f t="shared" si="19"/>
        <v>1</v>
      </c>
      <c r="Q150">
        <v>1290481</v>
      </c>
      <c r="R150">
        <v>1339</v>
      </c>
      <c r="S150">
        <f t="shared" si="20"/>
        <v>-74672</v>
      </c>
    </row>
    <row r="151" spans="1:19" x14ac:dyDescent="0.35">
      <c r="A151" s="1">
        <v>35886</v>
      </c>
      <c r="B151">
        <v>691076</v>
      </c>
      <c r="C151">
        <v>17589</v>
      </c>
      <c r="D151">
        <v>241782</v>
      </c>
      <c r="E151">
        <v>1156</v>
      </c>
      <c r="F151">
        <v>8374</v>
      </c>
      <c r="G151">
        <v>303542</v>
      </c>
      <c r="H151">
        <v>40674</v>
      </c>
      <c r="I151">
        <f t="shared" si="14"/>
        <v>708665</v>
      </c>
      <c r="J151">
        <f t="shared" si="15"/>
        <v>242938</v>
      </c>
      <c r="K151">
        <f t="shared" si="16"/>
        <v>344216</v>
      </c>
      <c r="L151">
        <v>464300</v>
      </c>
      <c r="M151">
        <v>385903</v>
      </c>
      <c r="N151">
        <f t="shared" si="17"/>
        <v>1374216</v>
      </c>
      <c r="O151" t="str">
        <f t="shared" si="18"/>
        <v>1998Q2</v>
      </c>
      <c r="P151">
        <f t="shared" si="19"/>
        <v>2</v>
      </c>
      <c r="Q151">
        <v>1297524</v>
      </c>
      <c r="R151">
        <v>1705</v>
      </c>
      <c r="S151">
        <f t="shared" si="20"/>
        <v>-76692</v>
      </c>
    </row>
    <row r="152" spans="1:19" x14ac:dyDescent="0.35">
      <c r="A152" s="1">
        <v>35977</v>
      </c>
      <c r="B152">
        <v>694865</v>
      </c>
      <c r="C152">
        <v>17820</v>
      </c>
      <c r="D152">
        <v>242639</v>
      </c>
      <c r="E152">
        <v>1070</v>
      </c>
      <c r="F152">
        <v>-3425</v>
      </c>
      <c r="G152">
        <v>304696</v>
      </c>
      <c r="H152">
        <v>40459</v>
      </c>
      <c r="I152">
        <f t="shared" si="14"/>
        <v>712685</v>
      </c>
      <c r="J152">
        <f t="shared" si="15"/>
        <v>243709</v>
      </c>
      <c r="K152">
        <f t="shared" si="16"/>
        <v>345155</v>
      </c>
      <c r="L152">
        <v>473720</v>
      </c>
      <c r="M152">
        <v>377232</v>
      </c>
      <c r="N152">
        <f t="shared" si="17"/>
        <v>1398037</v>
      </c>
      <c r="O152" t="str">
        <f t="shared" si="18"/>
        <v>1998Q3</v>
      </c>
      <c r="P152">
        <f t="shared" si="19"/>
        <v>3</v>
      </c>
      <c r="Q152">
        <v>1303369</v>
      </c>
      <c r="R152">
        <v>-1518</v>
      </c>
      <c r="S152">
        <f t="shared" si="20"/>
        <v>-94668</v>
      </c>
    </row>
    <row r="153" spans="1:19" x14ac:dyDescent="0.35">
      <c r="A153" s="1">
        <v>36069</v>
      </c>
      <c r="B153">
        <v>696387</v>
      </c>
      <c r="C153">
        <v>18433</v>
      </c>
      <c r="D153">
        <v>245318</v>
      </c>
      <c r="E153">
        <v>1074</v>
      </c>
      <c r="F153">
        <v>5494</v>
      </c>
      <c r="G153">
        <v>303877</v>
      </c>
      <c r="H153">
        <v>40951</v>
      </c>
      <c r="I153">
        <f t="shared" si="14"/>
        <v>714820</v>
      </c>
      <c r="J153">
        <f t="shared" si="15"/>
        <v>246392</v>
      </c>
      <c r="K153">
        <f t="shared" si="16"/>
        <v>344828</v>
      </c>
      <c r="L153">
        <v>492298</v>
      </c>
      <c r="M153">
        <v>392484</v>
      </c>
      <c r="N153">
        <f t="shared" si="17"/>
        <v>1405854</v>
      </c>
      <c r="O153" t="str">
        <f t="shared" si="18"/>
        <v>1998Q4</v>
      </c>
      <c r="P153">
        <f t="shared" si="19"/>
        <v>4</v>
      </c>
      <c r="Q153">
        <v>1307941</v>
      </c>
      <c r="R153">
        <v>1722</v>
      </c>
      <c r="S153">
        <f t="shared" si="20"/>
        <v>-97913</v>
      </c>
    </row>
    <row r="154" spans="1:19" x14ac:dyDescent="0.35">
      <c r="A154" s="1">
        <v>36161</v>
      </c>
      <c r="B154">
        <v>706087</v>
      </c>
      <c r="C154">
        <v>19221</v>
      </c>
      <c r="D154">
        <v>245935</v>
      </c>
      <c r="E154">
        <v>1189</v>
      </c>
      <c r="F154">
        <v>1847</v>
      </c>
      <c r="G154">
        <v>307260</v>
      </c>
      <c r="H154">
        <v>43477</v>
      </c>
      <c r="I154">
        <f t="shared" si="14"/>
        <v>725308</v>
      </c>
      <c r="J154">
        <f t="shared" si="15"/>
        <v>247124</v>
      </c>
      <c r="K154">
        <f t="shared" si="16"/>
        <v>350737</v>
      </c>
      <c r="L154">
        <v>510280</v>
      </c>
      <c r="M154">
        <v>400011</v>
      </c>
      <c r="N154">
        <f t="shared" si="17"/>
        <v>1433438</v>
      </c>
      <c r="O154" t="str">
        <f t="shared" si="18"/>
        <v>1999Q1</v>
      </c>
      <c r="P154">
        <f t="shared" si="19"/>
        <v>1</v>
      </c>
      <c r="Q154">
        <v>1325143</v>
      </c>
      <c r="R154">
        <v>2409</v>
      </c>
      <c r="S154">
        <f t="shared" si="20"/>
        <v>-108295</v>
      </c>
    </row>
    <row r="155" spans="1:19" x14ac:dyDescent="0.35">
      <c r="A155" s="1">
        <v>36251</v>
      </c>
      <c r="B155">
        <v>712673</v>
      </c>
      <c r="C155">
        <v>20021</v>
      </c>
      <c r="D155">
        <v>251237</v>
      </c>
      <c r="E155">
        <v>1353</v>
      </c>
      <c r="F155">
        <v>5752</v>
      </c>
      <c r="G155">
        <v>309229</v>
      </c>
      <c r="H155">
        <v>45455</v>
      </c>
      <c r="I155">
        <f t="shared" si="14"/>
        <v>732694</v>
      </c>
      <c r="J155">
        <f t="shared" si="15"/>
        <v>252590</v>
      </c>
      <c r="K155">
        <f t="shared" si="16"/>
        <v>354684</v>
      </c>
      <c r="L155">
        <v>511000</v>
      </c>
      <c r="M155">
        <v>407515</v>
      </c>
      <c r="N155">
        <f t="shared" si="17"/>
        <v>1443453</v>
      </c>
      <c r="O155" t="str">
        <f t="shared" si="18"/>
        <v>1999Q2</v>
      </c>
      <c r="P155">
        <f t="shared" si="19"/>
        <v>2</v>
      </c>
      <c r="Q155">
        <v>1341804</v>
      </c>
      <c r="R155">
        <v>1404</v>
      </c>
      <c r="S155">
        <f t="shared" si="20"/>
        <v>-101649</v>
      </c>
    </row>
    <row r="156" spans="1:19" x14ac:dyDescent="0.35">
      <c r="A156" s="1">
        <v>36342</v>
      </c>
      <c r="B156">
        <v>721165</v>
      </c>
      <c r="C156">
        <v>20609</v>
      </c>
      <c r="D156">
        <v>252932</v>
      </c>
      <c r="E156">
        <v>1427</v>
      </c>
      <c r="F156">
        <v>3907</v>
      </c>
      <c r="G156">
        <v>314132</v>
      </c>
      <c r="H156">
        <v>46090</v>
      </c>
      <c r="I156">
        <f t="shared" si="14"/>
        <v>741774</v>
      </c>
      <c r="J156">
        <f t="shared" si="15"/>
        <v>254359</v>
      </c>
      <c r="K156">
        <f t="shared" si="16"/>
        <v>360222</v>
      </c>
      <c r="L156">
        <v>528775</v>
      </c>
      <c r="M156">
        <v>417350</v>
      </c>
      <c r="N156">
        <f t="shared" si="17"/>
        <v>1467780</v>
      </c>
      <c r="O156" t="str">
        <f t="shared" si="18"/>
        <v>1999Q3</v>
      </c>
      <c r="P156">
        <f t="shared" si="19"/>
        <v>3</v>
      </c>
      <c r="Q156">
        <v>1358087</v>
      </c>
      <c r="R156">
        <v>1354</v>
      </c>
      <c r="S156">
        <f t="shared" si="20"/>
        <v>-109693</v>
      </c>
    </row>
    <row r="157" spans="1:19" x14ac:dyDescent="0.35">
      <c r="A157" s="1">
        <v>36434</v>
      </c>
      <c r="B157">
        <v>728173</v>
      </c>
      <c r="C157">
        <v>20747</v>
      </c>
      <c r="D157">
        <v>259330</v>
      </c>
      <c r="E157">
        <v>1459</v>
      </c>
      <c r="F157">
        <v>17092</v>
      </c>
      <c r="G157">
        <v>314546</v>
      </c>
      <c r="H157">
        <v>47003</v>
      </c>
      <c r="I157">
        <f t="shared" si="14"/>
        <v>748920</v>
      </c>
      <c r="J157">
        <f t="shared" si="15"/>
        <v>260789</v>
      </c>
      <c r="K157">
        <f t="shared" si="16"/>
        <v>361549</v>
      </c>
      <c r="L157">
        <v>543312</v>
      </c>
      <c r="M157">
        <v>438897</v>
      </c>
      <c r="N157">
        <f t="shared" si="17"/>
        <v>1475673</v>
      </c>
      <c r="O157" t="str">
        <f t="shared" si="18"/>
        <v>1999Q4</v>
      </c>
      <c r="P157">
        <f t="shared" si="19"/>
        <v>4</v>
      </c>
      <c r="Q157">
        <v>1373107</v>
      </c>
      <c r="R157">
        <v>3060</v>
      </c>
      <c r="S157">
        <f t="shared" si="20"/>
        <v>-102566</v>
      </c>
    </row>
    <row r="158" spans="1:19" x14ac:dyDescent="0.35">
      <c r="A158" s="1">
        <v>36526</v>
      </c>
      <c r="B158">
        <v>736143</v>
      </c>
      <c r="C158">
        <v>20759</v>
      </c>
      <c r="D158">
        <v>262167</v>
      </c>
      <c r="E158">
        <v>1459</v>
      </c>
      <c r="F158">
        <v>17497</v>
      </c>
      <c r="G158">
        <v>318113</v>
      </c>
      <c r="H158">
        <v>46924</v>
      </c>
      <c r="I158">
        <f t="shared" si="14"/>
        <v>756902</v>
      </c>
      <c r="J158">
        <f t="shared" si="15"/>
        <v>263626</v>
      </c>
      <c r="K158">
        <f t="shared" si="16"/>
        <v>365037</v>
      </c>
      <c r="L158">
        <v>561401</v>
      </c>
      <c r="M158">
        <v>448251</v>
      </c>
      <c r="N158">
        <f t="shared" si="17"/>
        <v>1498715</v>
      </c>
      <c r="O158" t="str">
        <f t="shared" si="18"/>
        <v>2000Q1</v>
      </c>
      <c r="P158">
        <f t="shared" si="19"/>
        <v>1</v>
      </c>
      <c r="Q158">
        <v>1387477</v>
      </c>
      <c r="R158">
        <v>2214</v>
      </c>
      <c r="S158">
        <f t="shared" si="20"/>
        <v>-111238</v>
      </c>
    </row>
    <row r="159" spans="1:19" x14ac:dyDescent="0.35">
      <c r="A159" s="1">
        <v>36617</v>
      </c>
      <c r="B159">
        <v>742547</v>
      </c>
      <c r="C159">
        <v>20903</v>
      </c>
      <c r="D159">
        <v>264700</v>
      </c>
      <c r="E159">
        <v>1480</v>
      </c>
      <c r="F159">
        <v>16387</v>
      </c>
      <c r="G159">
        <v>321619</v>
      </c>
      <c r="H159">
        <v>46482</v>
      </c>
      <c r="I159">
        <f t="shared" si="14"/>
        <v>763450</v>
      </c>
      <c r="J159">
        <f t="shared" si="15"/>
        <v>266180</v>
      </c>
      <c r="K159">
        <f t="shared" si="16"/>
        <v>368101</v>
      </c>
      <c r="L159">
        <v>569730</v>
      </c>
      <c r="M159">
        <v>450832</v>
      </c>
      <c r="N159">
        <f t="shared" si="17"/>
        <v>1516629</v>
      </c>
      <c r="O159" t="str">
        <f t="shared" si="18"/>
        <v>2000Q2</v>
      </c>
      <c r="P159">
        <f t="shared" si="19"/>
        <v>2</v>
      </c>
      <c r="Q159">
        <v>1399629</v>
      </c>
      <c r="R159">
        <v>2336</v>
      </c>
      <c r="S159">
        <f t="shared" si="20"/>
        <v>-117000</v>
      </c>
    </row>
    <row r="160" spans="1:19" x14ac:dyDescent="0.35">
      <c r="A160" s="1">
        <v>36708</v>
      </c>
      <c r="B160">
        <v>751978</v>
      </c>
      <c r="C160">
        <v>21259</v>
      </c>
      <c r="D160">
        <v>267675</v>
      </c>
      <c r="E160">
        <v>1515</v>
      </c>
      <c r="F160">
        <v>17026</v>
      </c>
      <c r="G160">
        <v>323123</v>
      </c>
      <c r="H160">
        <v>47229</v>
      </c>
      <c r="I160">
        <f t="shared" si="14"/>
        <v>773237</v>
      </c>
      <c r="J160">
        <f t="shared" si="15"/>
        <v>269190</v>
      </c>
      <c r="K160">
        <f t="shared" si="16"/>
        <v>370352</v>
      </c>
      <c r="L160">
        <v>574443</v>
      </c>
      <c r="M160">
        <v>455248</v>
      </c>
      <c r="N160">
        <f t="shared" si="17"/>
        <v>1531974</v>
      </c>
      <c r="O160" t="str">
        <f t="shared" si="18"/>
        <v>2000Q3</v>
      </c>
      <c r="P160">
        <f t="shared" si="19"/>
        <v>3</v>
      </c>
      <c r="Q160">
        <v>1414960</v>
      </c>
      <c r="R160">
        <v>1805</v>
      </c>
      <c r="S160">
        <f t="shared" si="20"/>
        <v>-117014</v>
      </c>
    </row>
    <row r="161" spans="1:19" x14ac:dyDescent="0.35">
      <c r="A161" s="1">
        <v>36800</v>
      </c>
      <c r="B161">
        <v>753281</v>
      </c>
      <c r="C161">
        <v>21772</v>
      </c>
      <c r="D161">
        <v>268403</v>
      </c>
      <c r="E161">
        <v>1534</v>
      </c>
      <c r="F161">
        <v>11458</v>
      </c>
      <c r="G161">
        <v>325095</v>
      </c>
      <c r="H161">
        <v>47912</v>
      </c>
      <c r="I161">
        <f t="shared" si="14"/>
        <v>775053</v>
      </c>
      <c r="J161">
        <f t="shared" si="15"/>
        <v>269937</v>
      </c>
      <c r="K161">
        <f t="shared" si="16"/>
        <v>373007</v>
      </c>
      <c r="L161">
        <v>575471</v>
      </c>
      <c r="M161">
        <v>451265</v>
      </c>
      <c r="N161">
        <f t="shared" si="17"/>
        <v>1542203</v>
      </c>
      <c r="O161" t="str">
        <f t="shared" si="18"/>
        <v>2000Q4</v>
      </c>
      <c r="P161">
        <f t="shared" si="19"/>
        <v>4</v>
      </c>
      <c r="Q161">
        <v>1419932</v>
      </c>
      <c r="R161">
        <v>-646</v>
      </c>
      <c r="S161">
        <f t="shared" si="20"/>
        <v>-122271</v>
      </c>
    </row>
    <row r="162" spans="1:19" x14ac:dyDescent="0.35">
      <c r="A162" s="1">
        <v>36892</v>
      </c>
      <c r="B162">
        <v>759456</v>
      </c>
      <c r="C162">
        <v>21597</v>
      </c>
      <c r="D162">
        <v>274243</v>
      </c>
      <c r="E162">
        <v>1592</v>
      </c>
      <c r="F162">
        <v>-2743</v>
      </c>
      <c r="G162">
        <v>329259</v>
      </c>
      <c r="H162">
        <v>50688</v>
      </c>
      <c r="I162">
        <f t="shared" si="14"/>
        <v>781053</v>
      </c>
      <c r="J162">
        <f t="shared" si="15"/>
        <v>275835</v>
      </c>
      <c r="K162">
        <f t="shared" si="16"/>
        <v>379947</v>
      </c>
      <c r="L162">
        <v>565825</v>
      </c>
      <c r="M162">
        <v>439234</v>
      </c>
      <c r="N162">
        <f t="shared" si="17"/>
        <v>1563426</v>
      </c>
      <c r="O162" t="str">
        <f t="shared" si="18"/>
        <v>2001Q1</v>
      </c>
      <c r="P162">
        <f t="shared" si="19"/>
        <v>1</v>
      </c>
      <c r="Q162">
        <v>1438276</v>
      </c>
      <c r="R162">
        <v>814</v>
      </c>
      <c r="S162">
        <f t="shared" si="20"/>
        <v>-125150</v>
      </c>
    </row>
    <row r="163" spans="1:19" x14ac:dyDescent="0.35">
      <c r="A163" s="1">
        <v>36982</v>
      </c>
      <c r="B163">
        <v>760662</v>
      </c>
      <c r="C163">
        <v>21828</v>
      </c>
      <c r="D163">
        <v>277837</v>
      </c>
      <c r="E163">
        <v>1633</v>
      </c>
      <c r="F163">
        <v>-1148</v>
      </c>
      <c r="G163">
        <v>333396</v>
      </c>
      <c r="H163">
        <v>51384</v>
      </c>
      <c r="I163">
        <f t="shared" si="14"/>
        <v>782490</v>
      </c>
      <c r="J163">
        <f t="shared" si="15"/>
        <v>279470</v>
      </c>
      <c r="K163">
        <f t="shared" si="16"/>
        <v>384780</v>
      </c>
      <c r="L163">
        <v>558503</v>
      </c>
      <c r="M163">
        <v>436147</v>
      </c>
      <c r="N163">
        <f t="shared" si="17"/>
        <v>1569096</v>
      </c>
      <c r="O163" t="str">
        <f t="shared" si="18"/>
        <v>2001Q2</v>
      </c>
      <c r="P163">
        <f t="shared" si="19"/>
        <v>2</v>
      </c>
      <c r="Q163">
        <v>1447545</v>
      </c>
      <c r="R163">
        <v>-717</v>
      </c>
      <c r="S163">
        <f t="shared" si="20"/>
        <v>-121551</v>
      </c>
    </row>
    <row r="164" spans="1:19" x14ac:dyDescent="0.35">
      <c r="A164" s="1">
        <v>37073</v>
      </c>
      <c r="B164">
        <v>762418</v>
      </c>
      <c r="C164">
        <v>22272</v>
      </c>
      <c r="D164">
        <v>280449</v>
      </c>
      <c r="E164">
        <v>1717</v>
      </c>
      <c r="F164">
        <v>-7576</v>
      </c>
      <c r="G164">
        <v>334353</v>
      </c>
      <c r="H164">
        <v>52759</v>
      </c>
      <c r="I164">
        <f t="shared" si="14"/>
        <v>784690</v>
      </c>
      <c r="J164">
        <f t="shared" si="15"/>
        <v>282166</v>
      </c>
      <c r="K164">
        <f t="shared" si="16"/>
        <v>387112</v>
      </c>
      <c r="L164">
        <v>546657</v>
      </c>
      <c r="M164">
        <v>426137</v>
      </c>
      <c r="N164">
        <f t="shared" si="17"/>
        <v>1574488</v>
      </c>
      <c r="O164" t="str">
        <f t="shared" si="18"/>
        <v>2001Q3</v>
      </c>
      <c r="P164">
        <f t="shared" si="19"/>
        <v>3</v>
      </c>
      <c r="Q164">
        <v>1454497</v>
      </c>
      <c r="R164">
        <v>-1313</v>
      </c>
      <c r="S164">
        <f t="shared" si="20"/>
        <v>-119991</v>
      </c>
    </row>
    <row r="165" spans="1:19" x14ac:dyDescent="0.35">
      <c r="A165" s="1">
        <v>37165</v>
      </c>
      <c r="B165">
        <v>771679</v>
      </c>
      <c r="C165">
        <v>22754</v>
      </c>
      <c r="D165">
        <v>268952</v>
      </c>
      <c r="E165">
        <v>1791</v>
      </c>
      <c r="F165">
        <v>-17563</v>
      </c>
      <c r="G165">
        <v>334806</v>
      </c>
      <c r="H165">
        <v>55228</v>
      </c>
      <c r="I165">
        <f t="shared" si="14"/>
        <v>794433</v>
      </c>
      <c r="J165">
        <f t="shared" si="15"/>
        <v>270743</v>
      </c>
      <c r="K165">
        <f t="shared" si="16"/>
        <v>390034</v>
      </c>
      <c r="L165">
        <v>548610</v>
      </c>
      <c r="M165">
        <v>415972</v>
      </c>
      <c r="N165">
        <f t="shared" si="17"/>
        <v>1587848</v>
      </c>
      <c r="O165" t="str">
        <f t="shared" si="18"/>
        <v>2001Q4</v>
      </c>
      <c r="P165">
        <f t="shared" si="19"/>
        <v>4</v>
      </c>
      <c r="Q165">
        <v>1456910</v>
      </c>
      <c r="R165">
        <v>598</v>
      </c>
      <c r="S165">
        <f t="shared" si="20"/>
        <v>-130938</v>
      </c>
    </row>
    <row r="166" spans="1:19" x14ac:dyDescent="0.35">
      <c r="A166" s="1">
        <v>37257</v>
      </c>
      <c r="B166">
        <v>783112</v>
      </c>
      <c r="C166">
        <v>23424</v>
      </c>
      <c r="D166">
        <v>270360</v>
      </c>
      <c r="E166">
        <v>2068</v>
      </c>
      <c r="F166">
        <v>-19499</v>
      </c>
      <c r="G166">
        <v>337134</v>
      </c>
      <c r="H166">
        <v>54318</v>
      </c>
      <c r="I166">
        <f t="shared" si="14"/>
        <v>806536</v>
      </c>
      <c r="J166">
        <f t="shared" si="15"/>
        <v>272428</v>
      </c>
      <c r="K166">
        <f t="shared" si="16"/>
        <v>391452</v>
      </c>
      <c r="L166">
        <v>557915</v>
      </c>
      <c r="M166">
        <v>418516</v>
      </c>
      <c r="N166">
        <f t="shared" si="17"/>
        <v>1609815</v>
      </c>
      <c r="O166" t="str">
        <f t="shared" si="18"/>
        <v>2002Q1</v>
      </c>
      <c r="P166">
        <f t="shared" si="19"/>
        <v>1</v>
      </c>
      <c r="Q166">
        <v>1472664</v>
      </c>
      <c r="R166">
        <v>2000</v>
      </c>
      <c r="S166">
        <f t="shared" si="20"/>
        <v>-137151</v>
      </c>
    </row>
    <row r="167" spans="1:19" x14ac:dyDescent="0.35">
      <c r="A167" s="1">
        <v>37347</v>
      </c>
      <c r="B167">
        <v>792630</v>
      </c>
      <c r="C167">
        <v>24329</v>
      </c>
      <c r="D167">
        <v>274632</v>
      </c>
      <c r="E167">
        <v>2000</v>
      </c>
      <c r="F167">
        <v>-32</v>
      </c>
      <c r="G167">
        <v>338513</v>
      </c>
      <c r="H167">
        <v>54507</v>
      </c>
      <c r="I167">
        <f t="shared" si="14"/>
        <v>816959</v>
      </c>
      <c r="J167">
        <f t="shared" si="15"/>
        <v>276632</v>
      </c>
      <c r="K167">
        <f t="shared" si="16"/>
        <v>393020</v>
      </c>
      <c r="L167">
        <v>557025</v>
      </c>
      <c r="M167">
        <v>438630</v>
      </c>
      <c r="N167">
        <f t="shared" si="17"/>
        <v>1605006</v>
      </c>
      <c r="O167" t="str">
        <f t="shared" si="18"/>
        <v>2002Q2</v>
      </c>
      <c r="P167">
        <f t="shared" si="19"/>
        <v>2</v>
      </c>
      <c r="Q167">
        <v>1489085</v>
      </c>
      <c r="R167">
        <v>726</v>
      </c>
      <c r="S167">
        <f t="shared" si="20"/>
        <v>-115921</v>
      </c>
    </row>
    <row r="168" spans="1:19" x14ac:dyDescent="0.35">
      <c r="A168" s="1">
        <v>37438</v>
      </c>
      <c r="B168">
        <v>794245</v>
      </c>
      <c r="C168">
        <v>24466</v>
      </c>
      <c r="D168">
        <v>279648</v>
      </c>
      <c r="E168">
        <v>1959</v>
      </c>
      <c r="F168">
        <v>-544</v>
      </c>
      <c r="G168">
        <v>341855</v>
      </c>
      <c r="H168">
        <v>54697</v>
      </c>
      <c r="I168">
        <f t="shared" si="14"/>
        <v>818711</v>
      </c>
      <c r="J168">
        <f t="shared" si="15"/>
        <v>281607</v>
      </c>
      <c r="K168">
        <f t="shared" si="16"/>
        <v>396552</v>
      </c>
      <c r="L168">
        <v>569640</v>
      </c>
      <c r="M168">
        <v>446853</v>
      </c>
      <c r="N168">
        <f t="shared" si="17"/>
        <v>1619657</v>
      </c>
      <c r="O168" t="str">
        <f t="shared" si="18"/>
        <v>2002Q3</v>
      </c>
      <c r="P168">
        <f t="shared" si="19"/>
        <v>3</v>
      </c>
      <c r="Q168">
        <v>1498803</v>
      </c>
      <c r="R168">
        <v>1318</v>
      </c>
      <c r="S168">
        <f t="shared" si="20"/>
        <v>-120854</v>
      </c>
    </row>
    <row r="169" spans="1:19" x14ac:dyDescent="0.35">
      <c r="A169" s="1">
        <v>37530</v>
      </c>
      <c r="B169">
        <v>802228</v>
      </c>
      <c r="C169">
        <v>24562</v>
      </c>
      <c r="D169">
        <v>280945</v>
      </c>
      <c r="E169">
        <v>1943</v>
      </c>
      <c r="F169">
        <v>4457</v>
      </c>
      <c r="G169">
        <v>344446</v>
      </c>
      <c r="H169">
        <v>54319</v>
      </c>
      <c r="I169">
        <f t="shared" si="14"/>
        <v>826790</v>
      </c>
      <c r="J169">
        <f t="shared" si="15"/>
        <v>282888</v>
      </c>
      <c r="K169">
        <f t="shared" si="16"/>
        <v>398765</v>
      </c>
      <c r="L169">
        <v>561661</v>
      </c>
      <c r="M169">
        <v>445815</v>
      </c>
      <c r="N169">
        <f t="shared" si="17"/>
        <v>1624289</v>
      </c>
      <c r="O169" t="str">
        <f t="shared" si="18"/>
        <v>2002Q4</v>
      </c>
      <c r="P169">
        <f t="shared" si="19"/>
        <v>4</v>
      </c>
      <c r="Q169">
        <v>1510662</v>
      </c>
      <c r="R169">
        <v>-96</v>
      </c>
      <c r="S169">
        <f t="shared" si="20"/>
        <v>-113627</v>
      </c>
    </row>
    <row r="170" spans="1:19" x14ac:dyDescent="0.35">
      <c r="A170" s="1">
        <v>37622</v>
      </c>
      <c r="B170">
        <v>806524</v>
      </c>
      <c r="C170">
        <v>23885</v>
      </c>
      <c r="D170">
        <v>283283</v>
      </c>
      <c r="E170">
        <v>1935</v>
      </c>
      <c r="F170">
        <v>14429</v>
      </c>
      <c r="G170">
        <v>348223</v>
      </c>
      <c r="H170">
        <v>55041</v>
      </c>
      <c r="I170">
        <f t="shared" si="14"/>
        <v>830409</v>
      </c>
      <c r="J170">
        <f t="shared" si="15"/>
        <v>285218</v>
      </c>
      <c r="K170">
        <f t="shared" si="16"/>
        <v>403264</v>
      </c>
      <c r="L170">
        <v>552664</v>
      </c>
      <c r="M170">
        <v>449683</v>
      </c>
      <c r="N170">
        <f t="shared" si="17"/>
        <v>1621872</v>
      </c>
      <c r="O170" t="str">
        <f t="shared" si="18"/>
        <v>2003Q1</v>
      </c>
      <c r="P170">
        <f t="shared" si="19"/>
        <v>1</v>
      </c>
      <c r="Q170">
        <v>1520907</v>
      </c>
      <c r="R170">
        <v>2630</v>
      </c>
      <c r="S170">
        <f t="shared" si="20"/>
        <v>-100965</v>
      </c>
    </row>
    <row r="171" spans="1:19" x14ac:dyDescent="0.35">
      <c r="A171" s="1">
        <v>37712</v>
      </c>
      <c r="B171">
        <v>813563</v>
      </c>
      <c r="C171">
        <v>23811</v>
      </c>
      <c r="D171">
        <v>285470</v>
      </c>
      <c r="E171">
        <v>1902</v>
      </c>
      <c r="F171">
        <v>14360</v>
      </c>
      <c r="G171">
        <v>349462</v>
      </c>
      <c r="H171">
        <v>56293</v>
      </c>
      <c r="I171">
        <f t="shared" si="14"/>
        <v>837374</v>
      </c>
      <c r="J171">
        <f t="shared" si="15"/>
        <v>287372</v>
      </c>
      <c r="K171">
        <f t="shared" si="16"/>
        <v>405755</v>
      </c>
      <c r="L171">
        <v>541594</v>
      </c>
      <c r="M171">
        <v>450547</v>
      </c>
      <c r="N171">
        <f t="shared" si="17"/>
        <v>1621548</v>
      </c>
      <c r="O171" t="str">
        <f t="shared" si="18"/>
        <v>2003Q2</v>
      </c>
      <c r="P171">
        <f t="shared" si="19"/>
        <v>2</v>
      </c>
      <c r="Q171">
        <v>1532665</v>
      </c>
      <c r="R171">
        <v>1707</v>
      </c>
      <c r="S171">
        <f t="shared" si="20"/>
        <v>-88883</v>
      </c>
    </row>
    <row r="172" spans="1:19" x14ac:dyDescent="0.35">
      <c r="A172" s="1">
        <v>37803</v>
      </c>
      <c r="B172">
        <v>821166</v>
      </c>
      <c r="C172">
        <v>23481</v>
      </c>
      <c r="D172">
        <v>295801</v>
      </c>
      <c r="E172">
        <v>1758</v>
      </c>
      <c r="F172">
        <v>-3150</v>
      </c>
      <c r="G172">
        <v>350364</v>
      </c>
      <c r="H172">
        <v>56901</v>
      </c>
      <c r="I172">
        <f t="shared" si="14"/>
        <v>844647</v>
      </c>
      <c r="J172">
        <f t="shared" si="15"/>
        <v>297559</v>
      </c>
      <c r="K172">
        <f t="shared" si="16"/>
        <v>407265</v>
      </c>
      <c r="L172">
        <v>548221</v>
      </c>
      <c r="M172">
        <v>451247</v>
      </c>
      <c r="N172">
        <f t="shared" si="17"/>
        <v>1646445</v>
      </c>
      <c r="O172" t="str">
        <f t="shared" si="18"/>
        <v>2003Q3</v>
      </c>
      <c r="P172">
        <f t="shared" si="19"/>
        <v>3</v>
      </c>
      <c r="Q172">
        <v>1551279</v>
      </c>
      <c r="R172">
        <v>57</v>
      </c>
      <c r="S172">
        <f t="shared" si="20"/>
        <v>-95166</v>
      </c>
    </row>
    <row r="173" spans="1:19" x14ac:dyDescent="0.35">
      <c r="A173" s="1">
        <v>37895</v>
      </c>
      <c r="B173">
        <v>822692</v>
      </c>
      <c r="C173">
        <v>22905</v>
      </c>
      <c r="D173">
        <v>303306</v>
      </c>
      <c r="E173">
        <v>1498</v>
      </c>
      <c r="F173">
        <v>1842</v>
      </c>
      <c r="G173">
        <v>353119</v>
      </c>
      <c r="H173">
        <v>57725</v>
      </c>
      <c r="I173">
        <f t="shared" si="14"/>
        <v>845597</v>
      </c>
      <c r="J173">
        <f t="shared" si="15"/>
        <v>304804</v>
      </c>
      <c r="K173">
        <f t="shared" si="16"/>
        <v>410844</v>
      </c>
      <c r="L173">
        <v>565761</v>
      </c>
      <c r="M173">
        <v>472563</v>
      </c>
      <c r="N173">
        <f t="shared" si="17"/>
        <v>1654443</v>
      </c>
      <c r="O173" t="str">
        <f t="shared" si="18"/>
        <v>2003Q4</v>
      </c>
      <c r="P173">
        <f t="shared" si="19"/>
        <v>4</v>
      </c>
      <c r="Q173">
        <v>1562315</v>
      </c>
      <c r="R173">
        <v>223</v>
      </c>
      <c r="S173">
        <f t="shared" si="20"/>
        <v>-92128</v>
      </c>
    </row>
    <row r="174" spans="1:19" x14ac:dyDescent="0.35">
      <c r="A174" s="1">
        <v>37987</v>
      </c>
      <c r="B174">
        <v>833673</v>
      </c>
      <c r="C174">
        <v>22644</v>
      </c>
      <c r="D174">
        <v>310769</v>
      </c>
      <c r="E174">
        <v>1099</v>
      </c>
      <c r="F174">
        <v>-3539</v>
      </c>
      <c r="G174">
        <v>355400</v>
      </c>
      <c r="H174">
        <v>59158</v>
      </c>
      <c r="I174">
        <f t="shared" si="14"/>
        <v>856317</v>
      </c>
      <c r="J174">
        <f t="shared" si="15"/>
        <v>311868</v>
      </c>
      <c r="K174">
        <f t="shared" si="16"/>
        <v>414558</v>
      </c>
      <c r="L174">
        <v>565206</v>
      </c>
      <c r="M174">
        <v>476771</v>
      </c>
      <c r="N174">
        <f t="shared" si="17"/>
        <v>1671178</v>
      </c>
      <c r="O174" t="str">
        <f t="shared" si="18"/>
        <v>2004Q1</v>
      </c>
      <c r="P174">
        <f t="shared" si="19"/>
        <v>1</v>
      </c>
      <c r="Q174">
        <v>1583726</v>
      </c>
      <c r="R174">
        <v>1099</v>
      </c>
      <c r="S174">
        <f t="shared" si="20"/>
        <v>-87452</v>
      </c>
    </row>
    <row r="175" spans="1:19" x14ac:dyDescent="0.35">
      <c r="A175" s="1">
        <v>38078</v>
      </c>
      <c r="B175">
        <v>837823</v>
      </c>
      <c r="C175">
        <v>22251</v>
      </c>
      <c r="D175">
        <v>316274</v>
      </c>
      <c r="E175">
        <v>946</v>
      </c>
      <c r="F175">
        <v>-5998</v>
      </c>
      <c r="G175">
        <v>354761</v>
      </c>
      <c r="H175">
        <v>59661</v>
      </c>
      <c r="I175">
        <f t="shared" si="14"/>
        <v>860074</v>
      </c>
      <c r="J175">
        <f t="shared" si="15"/>
        <v>317220</v>
      </c>
      <c r="K175">
        <f t="shared" si="16"/>
        <v>414422</v>
      </c>
      <c r="L175">
        <v>591796</v>
      </c>
      <c r="M175">
        <v>489625</v>
      </c>
      <c r="N175">
        <f t="shared" si="17"/>
        <v>1693887</v>
      </c>
      <c r="O175" t="str">
        <f t="shared" si="18"/>
        <v>2004Q2</v>
      </c>
      <c r="P175">
        <f t="shared" si="19"/>
        <v>2</v>
      </c>
      <c r="Q175">
        <v>1592608</v>
      </c>
      <c r="R175">
        <v>-36</v>
      </c>
      <c r="S175">
        <f t="shared" si="20"/>
        <v>-101279</v>
      </c>
    </row>
    <row r="176" spans="1:19" x14ac:dyDescent="0.35">
      <c r="A176" s="1">
        <v>38169</v>
      </c>
      <c r="B176">
        <v>845617</v>
      </c>
      <c r="C176">
        <v>22649</v>
      </c>
      <c r="D176">
        <v>321114</v>
      </c>
      <c r="E176">
        <v>1044</v>
      </c>
      <c r="F176">
        <v>15178</v>
      </c>
      <c r="G176">
        <v>357677</v>
      </c>
      <c r="H176">
        <v>60190</v>
      </c>
      <c r="I176">
        <f t="shared" si="14"/>
        <v>868266</v>
      </c>
      <c r="J176">
        <f t="shared" si="15"/>
        <v>322158</v>
      </c>
      <c r="K176">
        <f t="shared" si="16"/>
        <v>417867</v>
      </c>
      <c r="L176">
        <v>589849</v>
      </c>
      <c r="M176">
        <v>503689</v>
      </c>
      <c r="N176">
        <f t="shared" si="17"/>
        <v>1694451</v>
      </c>
      <c r="O176" t="str">
        <f t="shared" si="18"/>
        <v>2004Q3</v>
      </c>
      <c r="P176">
        <f t="shared" si="19"/>
        <v>3</v>
      </c>
      <c r="Q176">
        <v>1609099</v>
      </c>
      <c r="R176">
        <v>-81</v>
      </c>
      <c r="S176">
        <f t="shared" si="20"/>
        <v>-85352</v>
      </c>
    </row>
    <row r="177" spans="1:19" x14ac:dyDescent="0.35">
      <c r="A177" s="1">
        <v>38261</v>
      </c>
      <c r="B177">
        <v>852442</v>
      </c>
      <c r="C177">
        <v>23065</v>
      </c>
      <c r="D177">
        <v>326040</v>
      </c>
      <c r="E177">
        <v>1422</v>
      </c>
      <c r="F177">
        <v>24093</v>
      </c>
      <c r="G177">
        <v>359613</v>
      </c>
      <c r="H177">
        <v>61408</v>
      </c>
      <c r="I177">
        <f t="shared" si="14"/>
        <v>875507</v>
      </c>
      <c r="J177">
        <f t="shared" si="15"/>
        <v>327462</v>
      </c>
      <c r="K177">
        <f t="shared" si="16"/>
        <v>421021</v>
      </c>
      <c r="L177">
        <v>584139</v>
      </c>
      <c r="M177">
        <v>509373</v>
      </c>
      <c r="N177">
        <f t="shared" si="17"/>
        <v>1698756</v>
      </c>
      <c r="O177" t="str">
        <f t="shared" si="18"/>
        <v>2004Q4</v>
      </c>
      <c r="P177">
        <f t="shared" si="19"/>
        <v>4</v>
      </c>
      <c r="Q177">
        <v>1624655</v>
      </c>
      <c r="R177">
        <v>296</v>
      </c>
      <c r="S177">
        <f t="shared" si="20"/>
        <v>-74101</v>
      </c>
    </row>
    <row r="178" spans="1:19" x14ac:dyDescent="0.35">
      <c r="A178" s="1">
        <v>38353</v>
      </c>
      <c r="B178">
        <v>864319</v>
      </c>
      <c r="C178">
        <v>23646</v>
      </c>
      <c r="D178">
        <v>333307</v>
      </c>
      <c r="E178">
        <v>2095</v>
      </c>
      <c r="F178">
        <v>21887</v>
      </c>
      <c r="G178">
        <v>357687</v>
      </c>
      <c r="H178">
        <v>64010</v>
      </c>
      <c r="I178">
        <f t="shared" si="14"/>
        <v>887965</v>
      </c>
      <c r="J178">
        <f t="shared" si="15"/>
        <v>335402</v>
      </c>
      <c r="K178">
        <f t="shared" si="16"/>
        <v>421697</v>
      </c>
      <c r="L178">
        <v>589934</v>
      </c>
      <c r="M178">
        <v>526412</v>
      </c>
      <c r="N178">
        <f t="shared" si="17"/>
        <v>1708586</v>
      </c>
      <c r="O178" t="str">
        <f t="shared" si="18"/>
        <v>2005Q1</v>
      </c>
      <c r="P178">
        <f t="shared" si="19"/>
        <v>1</v>
      </c>
      <c r="Q178">
        <v>1645912</v>
      </c>
      <c r="R178">
        <v>-384</v>
      </c>
      <c r="S178">
        <f t="shared" si="20"/>
        <v>-62674</v>
      </c>
    </row>
    <row r="179" spans="1:19" x14ac:dyDescent="0.35">
      <c r="A179" s="1">
        <v>38443</v>
      </c>
      <c r="B179">
        <v>871784</v>
      </c>
      <c r="C179">
        <v>23947</v>
      </c>
      <c r="D179">
        <v>340880</v>
      </c>
      <c r="E179">
        <v>2581</v>
      </c>
      <c r="F179">
        <v>11952</v>
      </c>
      <c r="G179">
        <v>358952</v>
      </c>
      <c r="H179">
        <v>65562</v>
      </c>
      <c r="I179">
        <f t="shared" si="14"/>
        <v>895731</v>
      </c>
      <c r="J179">
        <f t="shared" si="15"/>
        <v>343461</v>
      </c>
      <c r="K179">
        <f t="shared" si="16"/>
        <v>424514</v>
      </c>
      <c r="L179">
        <v>587785</v>
      </c>
      <c r="M179">
        <v>522541</v>
      </c>
      <c r="N179">
        <f t="shared" si="17"/>
        <v>1728950</v>
      </c>
      <c r="O179" t="str">
        <f t="shared" si="18"/>
        <v>2005Q2</v>
      </c>
      <c r="P179">
        <f t="shared" si="19"/>
        <v>2</v>
      </c>
      <c r="Q179">
        <v>1664256</v>
      </c>
      <c r="R179">
        <v>1225</v>
      </c>
      <c r="S179">
        <f t="shared" si="20"/>
        <v>-64694</v>
      </c>
    </row>
    <row r="180" spans="1:19" x14ac:dyDescent="0.35">
      <c r="A180" s="1">
        <v>38534</v>
      </c>
      <c r="B180">
        <v>877599</v>
      </c>
      <c r="C180">
        <v>24300</v>
      </c>
      <c r="D180">
        <v>350473</v>
      </c>
      <c r="E180">
        <v>2910</v>
      </c>
      <c r="F180">
        <v>14519</v>
      </c>
      <c r="G180">
        <v>360982</v>
      </c>
      <c r="H180">
        <v>66669</v>
      </c>
      <c r="I180">
        <f t="shared" si="14"/>
        <v>901899</v>
      </c>
      <c r="J180">
        <f t="shared" si="15"/>
        <v>353383</v>
      </c>
      <c r="K180">
        <f t="shared" si="16"/>
        <v>427651</v>
      </c>
      <c r="L180">
        <v>596248</v>
      </c>
      <c r="M180">
        <v>531724</v>
      </c>
      <c r="N180">
        <f t="shared" si="17"/>
        <v>1747457</v>
      </c>
      <c r="O180" t="str">
        <f t="shared" si="18"/>
        <v>2005Q3</v>
      </c>
      <c r="P180">
        <f t="shared" si="19"/>
        <v>3</v>
      </c>
      <c r="Q180">
        <v>1682926</v>
      </c>
      <c r="R180">
        <v>1764</v>
      </c>
      <c r="S180">
        <f t="shared" si="20"/>
        <v>-64531</v>
      </c>
    </row>
    <row r="181" spans="1:19" x14ac:dyDescent="0.35">
      <c r="A181" s="1">
        <v>38626</v>
      </c>
      <c r="B181">
        <v>885914</v>
      </c>
      <c r="C181">
        <v>24676</v>
      </c>
      <c r="D181">
        <v>357985</v>
      </c>
      <c r="E181">
        <v>3084</v>
      </c>
      <c r="F181">
        <v>10931</v>
      </c>
      <c r="G181">
        <v>365004</v>
      </c>
      <c r="H181">
        <v>67934</v>
      </c>
      <c r="I181">
        <f t="shared" si="14"/>
        <v>910590</v>
      </c>
      <c r="J181">
        <f t="shared" si="15"/>
        <v>361069</v>
      </c>
      <c r="K181">
        <f t="shared" si="16"/>
        <v>432938</v>
      </c>
      <c r="L181">
        <v>610182</v>
      </c>
      <c r="M181">
        <v>544076</v>
      </c>
      <c r="N181">
        <f t="shared" si="17"/>
        <v>1770703</v>
      </c>
      <c r="O181" t="str">
        <f t="shared" si="18"/>
        <v>2005Q4</v>
      </c>
      <c r="P181">
        <f t="shared" si="19"/>
        <v>4</v>
      </c>
      <c r="Q181">
        <v>1704191</v>
      </c>
      <c r="R181">
        <v>-304</v>
      </c>
      <c r="S181">
        <f t="shared" si="20"/>
        <v>-66512</v>
      </c>
    </row>
    <row r="182" spans="1:19" x14ac:dyDescent="0.35">
      <c r="A182" s="1">
        <v>38718</v>
      </c>
      <c r="B182">
        <v>898341</v>
      </c>
      <c r="C182">
        <v>25006</v>
      </c>
      <c r="D182">
        <v>365703</v>
      </c>
      <c r="E182">
        <v>3141</v>
      </c>
      <c r="F182">
        <v>18445</v>
      </c>
      <c r="G182">
        <v>366465</v>
      </c>
      <c r="H182">
        <v>68044</v>
      </c>
      <c r="I182">
        <f t="shared" si="14"/>
        <v>923347</v>
      </c>
      <c r="J182">
        <f t="shared" si="15"/>
        <v>368844</v>
      </c>
      <c r="K182">
        <f t="shared" si="16"/>
        <v>434509</v>
      </c>
      <c r="L182">
        <v>602039</v>
      </c>
      <c r="M182">
        <v>549019</v>
      </c>
      <c r="N182">
        <f t="shared" si="17"/>
        <v>1779720</v>
      </c>
      <c r="O182" t="str">
        <f t="shared" si="18"/>
        <v>2006Q1</v>
      </c>
      <c r="P182">
        <f t="shared" si="19"/>
        <v>1</v>
      </c>
      <c r="Q182">
        <v>1726417</v>
      </c>
      <c r="R182">
        <v>-993</v>
      </c>
      <c r="S182">
        <f t="shared" si="20"/>
        <v>-53303</v>
      </c>
    </row>
    <row r="183" spans="1:19" x14ac:dyDescent="0.35">
      <c r="A183" s="1">
        <v>38808</v>
      </c>
      <c r="B183">
        <v>906453</v>
      </c>
      <c r="C183">
        <v>25086</v>
      </c>
      <c r="D183">
        <v>369126</v>
      </c>
      <c r="E183">
        <v>2999</v>
      </c>
      <c r="F183">
        <v>19174</v>
      </c>
      <c r="G183">
        <v>370375</v>
      </c>
      <c r="H183">
        <v>68646</v>
      </c>
      <c r="I183">
        <f t="shared" si="14"/>
        <v>931539</v>
      </c>
      <c r="J183">
        <f t="shared" si="15"/>
        <v>372125</v>
      </c>
      <c r="K183">
        <f t="shared" si="16"/>
        <v>439021</v>
      </c>
      <c r="L183">
        <v>599768</v>
      </c>
      <c r="M183">
        <v>563522</v>
      </c>
      <c r="N183">
        <f t="shared" si="17"/>
        <v>1778931</v>
      </c>
      <c r="O183" t="str">
        <f t="shared" si="18"/>
        <v>2006Q2</v>
      </c>
      <c r="P183">
        <f t="shared" si="19"/>
        <v>2</v>
      </c>
      <c r="Q183">
        <v>1742360</v>
      </c>
      <c r="R183">
        <v>921</v>
      </c>
      <c r="S183">
        <f t="shared" si="20"/>
        <v>-36571</v>
      </c>
    </row>
    <row r="184" spans="1:19" x14ac:dyDescent="0.35">
      <c r="A184" s="1">
        <v>38899</v>
      </c>
      <c r="B184">
        <v>916427</v>
      </c>
      <c r="C184">
        <v>24950</v>
      </c>
      <c r="D184">
        <v>368874</v>
      </c>
      <c r="E184">
        <v>2754</v>
      </c>
      <c r="F184">
        <v>13731</v>
      </c>
      <c r="G184">
        <v>371577</v>
      </c>
      <c r="H184">
        <v>69068</v>
      </c>
      <c r="I184">
        <f t="shared" si="14"/>
        <v>941377</v>
      </c>
      <c r="J184">
        <f t="shared" si="15"/>
        <v>371628</v>
      </c>
      <c r="K184">
        <f t="shared" si="16"/>
        <v>440645</v>
      </c>
      <c r="L184">
        <v>599465</v>
      </c>
      <c r="M184">
        <v>562673</v>
      </c>
      <c r="N184">
        <f t="shared" si="17"/>
        <v>1790442</v>
      </c>
      <c r="O184" t="str">
        <f t="shared" si="18"/>
        <v>2006Q3</v>
      </c>
      <c r="P184">
        <f t="shared" si="19"/>
        <v>3</v>
      </c>
      <c r="Q184">
        <v>1753776</v>
      </c>
      <c r="R184">
        <v>-925</v>
      </c>
      <c r="S184">
        <f t="shared" si="20"/>
        <v>-36666</v>
      </c>
    </row>
    <row r="185" spans="1:19" x14ac:dyDescent="0.35">
      <c r="A185" s="1">
        <v>38991</v>
      </c>
      <c r="B185">
        <v>925876</v>
      </c>
      <c r="C185">
        <v>24978</v>
      </c>
      <c r="D185">
        <v>370194</v>
      </c>
      <c r="E185">
        <v>2454</v>
      </c>
      <c r="F185">
        <v>44</v>
      </c>
      <c r="G185">
        <v>373907</v>
      </c>
      <c r="H185">
        <v>70522</v>
      </c>
      <c r="I185">
        <f t="shared" si="14"/>
        <v>950854</v>
      </c>
      <c r="J185">
        <f t="shared" si="15"/>
        <v>372648</v>
      </c>
      <c r="K185">
        <f t="shared" si="16"/>
        <v>444429</v>
      </c>
      <c r="L185">
        <v>604017</v>
      </c>
      <c r="M185">
        <v>562491</v>
      </c>
      <c r="N185">
        <f t="shared" si="17"/>
        <v>1809457</v>
      </c>
      <c r="O185" t="str">
        <f t="shared" si="18"/>
        <v>2006Q4</v>
      </c>
      <c r="P185">
        <f t="shared" si="19"/>
        <v>4</v>
      </c>
      <c r="Q185">
        <v>1768221</v>
      </c>
      <c r="R185">
        <v>-43</v>
      </c>
      <c r="S185">
        <f t="shared" si="20"/>
        <v>-41236</v>
      </c>
    </row>
    <row r="186" spans="1:19" x14ac:dyDescent="0.35">
      <c r="A186" s="1">
        <v>39083</v>
      </c>
      <c r="B186">
        <v>934111</v>
      </c>
      <c r="C186">
        <v>24154</v>
      </c>
      <c r="D186">
        <v>375466</v>
      </c>
      <c r="E186">
        <v>1762</v>
      </c>
      <c r="F186">
        <v>3856</v>
      </c>
      <c r="G186">
        <v>375405</v>
      </c>
      <c r="H186">
        <v>72408</v>
      </c>
      <c r="I186">
        <f t="shared" si="14"/>
        <v>958265</v>
      </c>
      <c r="J186">
        <f t="shared" si="15"/>
        <v>377228</v>
      </c>
      <c r="K186">
        <f t="shared" si="16"/>
        <v>447813</v>
      </c>
      <c r="L186">
        <v>610097</v>
      </c>
      <c r="M186">
        <v>574708</v>
      </c>
      <c r="N186">
        <f t="shared" si="17"/>
        <v>1818695</v>
      </c>
      <c r="O186" t="str">
        <f t="shared" si="18"/>
        <v>2007Q1</v>
      </c>
      <c r="P186">
        <f t="shared" si="19"/>
        <v>1</v>
      </c>
      <c r="Q186">
        <v>1783496</v>
      </c>
      <c r="R186">
        <v>-1143</v>
      </c>
      <c r="S186">
        <f t="shared" si="20"/>
        <v>-35199</v>
      </c>
    </row>
    <row r="187" spans="1:19" x14ac:dyDescent="0.35">
      <c r="A187" s="1">
        <v>39173</v>
      </c>
      <c r="B187">
        <v>948250</v>
      </c>
      <c r="C187">
        <v>24351</v>
      </c>
      <c r="D187">
        <v>377593</v>
      </c>
      <c r="E187">
        <v>1839</v>
      </c>
      <c r="F187">
        <v>570</v>
      </c>
      <c r="G187">
        <v>377161</v>
      </c>
      <c r="H187">
        <v>73538</v>
      </c>
      <c r="I187">
        <f t="shared" si="14"/>
        <v>972601</v>
      </c>
      <c r="J187">
        <f t="shared" si="15"/>
        <v>379432</v>
      </c>
      <c r="K187">
        <f t="shared" si="16"/>
        <v>450699</v>
      </c>
      <c r="L187">
        <v>619418</v>
      </c>
      <c r="M187">
        <v>583850</v>
      </c>
      <c r="N187">
        <f t="shared" si="17"/>
        <v>1838300</v>
      </c>
      <c r="O187" t="str">
        <f t="shared" si="18"/>
        <v>2007Q2</v>
      </c>
      <c r="P187">
        <f t="shared" si="19"/>
        <v>2</v>
      </c>
      <c r="Q187">
        <v>1803283</v>
      </c>
      <c r="R187">
        <v>-808</v>
      </c>
      <c r="S187">
        <f t="shared" si="20"/>
        <v>-35017</v>
      </c>
    </row>
    <row r="188" spans="1:19" x14ac:dyDescent="0.35">
      <c r="A188" s="1">
        <v>39264</v>
      </c>
      <c r="B188">
        <v>957158</v>
      </c>
      <c r="C188">
        <v>24489</v>
      </c>
      <c r="D188">
        <v>378410</v>
      </c>
      <c r="E188">
        <v>2054</v>
      </c>
      <c r="F188">
        <v>18357</v>
      </c>
      <c r="G188">
        <v>382422</v>
      </c>
      <c r="H188">
        <v>74382</v>
      </c>
      <c r="I188">
        <f t="shared" si="14"/>
        <v>981647</v>
      </c>
      <c r="J188">
        <f t="shared" si="15"/>
        <v>380464</v>
      </c>
      <c r="K188">
        <f t="shared" si="16"/>
        <v>456804</v>
      </c>
      <c r="L188">
        <v>607994</v>
      </c>
      <c r="M188">
        <v>598021</v>
      </c>
      <c r="N188">
        <f t="shared" si="17"/>
        <v>1828888</v>
      </c>
      <c r="O188" t="str">
        <f t="shared" si="18"/>
        <v>2007Q3</v>
      </c>
      <c r="P188">
        <f t="shared" si="19"/>
        <v>3</v>
      </c>
      <c r="Q188">
        <v>1819467</v>
      </c>
      <c r="R188">
        <v>-1398</v>
      </c>
      <c r="S188">
        <f t="shared" si="20"/>
        <v>-9421</v>
      </c>
    </row>
    <row r="189" spans="1:19" x14ac:dyDescent="0.35">
      <c r="A189" s="1">
        <v>39356</v>
      </c>
      <c r="B189">
        <v>974704</v>
      </c>
      <c r="C189">
        <v>25085</v>
      </c>
      <c r="D189">
        <v>383534</v>
      </c>
      <c r="E189">
        <v>2363</v>
      </c>
      <c r="F189">
        <v>23227</v>
      </c>
      <c r="G189">
        <v>382552</v>
      </c>
      <c r="H189">
        <v>74388</v>
      </c>
      <c r="I189">
        <f t="shared" si="14"/>
        <v>999789</v>
      </c>
      <c r="J189">
        <f t="shared" si="15"/>
        <v>385897</v>
      </c>
      <c r="K189">
        <f t="shared" si="16"/>
        <v>456940</v>
      </c>
      <c r="L189">
        <v>593844</v>
      </c>
      <c r="M189">
        <v>610546</v>
      </c>
      <c r="N189">
        <f t="shared" si="17"/>
        <v>1825924</v>
      </c>
      <c r="O189" t="str">
        <f t="shared" si="18"/>
        <v>2007Q4</v>
      </c>
      <c r="P189">
        <f t="shared" si="19"/>
        <v>4</v>
      </c>
      <c r="Q189">
        <v>1843706</v>
      </c>
      <c r="R189">
        <v>-1201</v>
      </c>
      <c r="S189">
        <f t="shared" si="20"/>
        <v>17782</v>
      </c>
    </row>
    <row r="190" spans="1:19" x14ac:dyDescent="0.35">
      <c r="A190" s="1">
        <v>39448</v>
      </c>
      <c r="B190">
        <v>982379</v>
      </c>
      <c r="C190">
        <v>25882</v>
      </c>
      <c r="D190">
        <v>390538</v>
      </c>
      <c r="E190">
        <v>2885</v>
      </c>
      <c r="F190">
        <v>11118</v>
      </c>
      <c r="G190">
        <v>385977</v>
      </c>
      <c r="H190">
        <v>77397</v>
      </c>
      <c r="I190">
        <f t="shared" si="14"/>
        <v>1008261</v>
      </c>
      <c r="J190">
        <f t="shared" si="15"/>
        <v>393423</v>
      </c>
      <c r="K190">
        <f t="shared" si="16"/>
        <v>463374</v>
      </c>
      <c r="L190">
        <v>585213</v>
      </c>
      <c r="M190">
        <v>611340</v>
      </c>
      <c r="N190">
        <f t="shared" si="17"/>
        <v>1838931</v>
      </c>
      <c r="O190" t="str">
        <f t="shared" si="18"/>
        <v>2008Q1</v>
      </c>
      <c r="P190">
        <f t="shared" si="19"/>
        <v>1</v>
      </c>
      <c r="Q190">
        <v>1865834</v>
      </c>
      <c r="R190">
        <v>-81</v>
      </c>
      <c r="S190">
        <f t="shared" si="20"/>
        <v>26903</v>
      </c>
    </row>
    <row r="191" spans="1:19" x14ac:dyDescent="0.35">
      <c r="A191" s="1">
        <v>39539</v>
      </c>
      <c r="B191">
        <v>983497</v>
      </c>
      <c r="C191">
        <v>26831</v>
      </c>
      <c r="D191">
        <v>387750</v>
      </c>
      <c r="E191">
        <v>3130</v>
      </c>
      <c r="F191">
        <v>8236</v>
      </c>
      <c r="G191">
        <v>394401</v>
      </c>
      <c r="H191">
        <v>77004</v>
      </c>
      <c r="I191">
        <f t="shared" si="14"/>
        <v>1010328</v>
      </c>
      <c r="J191">
        <f t="shared" si="15"/>
        <v>390880</v>
      </c>
      <c r="K191">
        <f t="shared" si="16"/>
        <v>471405</v>
      </c>
      <c r="L191">
        <v>590569</v>
      </c>
      <c r="M191">
        <v>615759</v>
      </c>
      <c r="N191">
        <f t="shared" si="17"/>
        <v>1847423</v>
      </c>
      <c r="O191" t="str">
        <f t="shared" si="18"/>
        <v>2008Q2</v>
      </c>
      <c r="P191">
        <f t="shared" si="19"/>
        <v>2</v>
      </c>
      <c r="Q191">
        <v>1873236</v>
      </c>
      <c r="R191">
        <v>608</v>
      </c>
      <c r="S191">
        <f t="shared" si="20"/>
        <v>25813</v>
      </c>
    </row>
    <row r="192" spans="1:19" x14ac:dyDescent="0.35">
      <c r="A192" s="1">
        <v>39630</v>
      </c>
      <c r="B192">
        <v>984088</v>
      </c>
      <c r="C192">
        <v>27189</v>
      </c>
      <c r="D192">
        <v>383902</v>
      </c>
      <c r="E192">
        <v>3327</v>
      </c>
      <c r="F192">
        <v>16800</v>
      </c>
      <c r="G192">
        <v>394258</v>
      </c>
      <c r="H192">
        <v>76617</v>
      </c>
      <c r="I192">
        <f t="shared" si="14"/>
        <v>1011277</v>
      </c>
      <c r="J192">
        <f t="shared" si="15"/>
        <v>387229</v>
      </c>
      <c r="K192">
        <f t="shared" si="16"/>
        <v>470875</v>
      </c>
      <c r="L192">
        <v>585825</v>
      </c>
      <c r="M192">
        <v>599243</v>
      </c>
      <c r="N192">
        <f t="shared" si="17"/>
        <v>1855963</v>
      </c>
      <c r="O192" t="str">
        <f t="shared" si="18"/>
        <v>2008Q3</v>
      </c>
      <c r="P192">
        <f t="shared" si="19"/>
        <v>3</v>
      </c>
      <c r="Q192">
        <v>1870182</v>
      </c>
      <c r="R192">
        <v>-1275</v>
      </c>
      <c r="S192">
        <f t="shared" si="20"/>
        <v>14219</v>
      </c>
    </row>
    <row r="193" spans="1:19" x14ac:dyDescent="0.35">
      <c r="A193" s="1">
        <v>39722</v>
      </c>
      <c r="B193">
        <v>972176</v>
      </c>
      <c r="C193">
        <v>27267</v>
      </c>
      <c r="D193">
        <v>363602</v>
      </c>
      <c r="E193">
        <v>3283</v>
      </c>
      <c r="F193">
        <v>8777</v>
      </c>
      <c r="G193">
        <v>399973</v>
      </c>
      <c r="H193">
        <v>77766</v>
      </c>
      <c r="I193">
        <f t="shared" si="14"/>
        <v>999443</v>
      </c>
      <c r="J193">
        <f t="shared" si="15"/>
        <v>366885</v>
      </c>
      <c r="K193">
        <f t="shared" si="16"/>
        <v>477739</v>
      </c>
      <c r="L193">
        <v>559024</v>
      </c>
      <c r="M193">
        <v>562385</v>
      </c>
      <c r="N193">
        <f t="shared" si="17"/>
        <v>1840706</v>
      </c>
      <c r="O193" t="str">
        <f t="shared" si="18"/>
        <v>2008Q4</v>
      </c>
      <c r="P193">
        <f t="shared" si="19"/>
        <v>4</v>
      </c>
      <c r="Q193">
        <v>1844695</v>
      </c>
      <c r="R193">
        <v>-705</v>
      </c>
      <c r="S193">
        <f t="shared" si="20"/>
        <v>3989</v>
      </c>
    </row>
    <row r="194" spans="1:19" x14ac:dyDescent="0.35">
      <c r="A194" s="1">
        <v>39814</v>
      </c>
      <c r="B194">
        <v>969145</v>
      </c>
      <c r="C194">
        <v>26950</v>
      </c>
      <c r="D194">
        <v>319533</v>
      </c>
      <c r="E194">
        <v>2504</v>
      </c>
      <c r="F194">
        <v>5474</v>
      </c>
      <c r="G194">
        <v>400012</v>
      </c>
      <c r="H194">
        <v>77837</v>
      </c>
      <c r="I194">
        <f t="shared" si="14"/>
        <v>996095</v>
      </c>
      <c r="J194">
        <f t="shared" si="15"/>
        <v>322037</v>
      </c>
      <c r="K194">
        <f t="shared" si="16"/>
        <v>477849</v>
      </c>
      <c r="L194">
        <v>510893</v>
      </c>
      <c r="M194">
        <v>508011</v>
      </c>
      <c r="N194">
        <f t="shared" si="17"/>
        <v>1798863</v>
      </c>
      <c r="O194" t="str">
        <f t="shared" si="18"/>
        <v>2009Q1</v>
      </c>
      <c r="P194">
        <f t="shared" si="19"/>
        <v>1</v>
      </c>
      <c r="Q194">
        <v>1796910</v>
      </c>
      <c r="R194">
        <v>-240</v>
      </c>
      <c r="S194">
        <f t="shared" si="20"/>
        <v>-1953</v>
      </c>
    </row>
    <row r="195" spans="1:19" x14ac:dyDescent="0.35">
      <c r="A195" s="1">
        <v>39904</v>
      </c>
      <c r="B195">
        <v>977618</v>
      </c>
      <c r="C195">
        <v>26075</v>
      </c>
      <c r="D195">
        <v>314887</v>
      </c>
      <c r="E195">
        <v>2501</v>
      </c>
      <c r="F195">
        <v>-8724</v>
      </c>
      <c r="G195">
        <v>403150</v>
      </c>
      <c r="H195">
        <v>80593</v>
      </c>
      <c r="I195">
        <f t="shared" ref="I195:I258" si="21">B195+C195</f>
        <v>1003693</v>
      </c>
      <c r="J195">
        <f t="shared" ref="J195:J258" si="22">D195+E195</f>
        <v>317388</v>
      </c>
      <c r="K195">
        <f t="shared" ref="K195:K258" si="23">G195+H195</f>
        <v>483743</v>
      </c>
      <c r="L195">
        <v>490276</v>
      </c>
      <c r="M195">
        <v>500023</v>
      </c>
      <c r="N195">
        <f t="shared" ref="N195:N258" si="24">SUM(I195:L195)-M195</f>
        <v>1795077</v>
      </c>
      <c r="O195" t="str">
        <f t="shared" ref="O195:O258" si="25">TEXT(A195,"yyyy") &amp; "Q" &amp; P195</f>
        <v>2009Q2</v>
      </c>
      <c r="P195">
        <f t="shared" ref="P195:P258" si="26">ROUNDUP(MONTH(A195)/3,0)</f>
        <v>2</v>
      </c>
      <c r="Q195">
        <v>1805834</v>
      </c>
      <c r="R195">
        <v>-1526</v>
      </c>
      <c r="S195">
        <f t="shared" ref="S195:S258" si="27">Q195-N195</f>
        <v>10757</v>
      </c>
    </row>
    <row r="196" spans="1:19" x14ac:dyDescent="0.35">
      <c r="A196" s="1">
        <v>39995</v>
      </c>
      <c r="B196">
        <v>988296</v>
      </c>
      <c r="C196">
        <v>24998</v>
      </c>
      <c r="D196">
        <v>321154</v>
      </c>
      <c r="E196">
        <v>2458</v>
      </c>
      <c r="F196">
        <v>-4779</v>
      </c>
      <c r="G196">
        <v>405287</v>
      </c>
      <c r="H196">
        <v>86854</v>
      </c>
      <c r="I196">
        <f t="shared" si="21"/>
        <v>1013294</v>
      </c>
      <c r="J196">
        <f t="shared" si="22"/>
        <v>323612</v>
      </c>
      <c r="K196">
        <f t="shared" si="23"/>
        <v>492141</v>
      </c>
      <c r="L196">
        <v>503446</v>
      </c>
      <c r="M196">
        <v>531775</v>
      </c>
      <c r="N196">
        <f t="shared" si="24"/>
        <v>1800718</v>
      </c>
      <c r="O196" t="str">
        <f t="shared" si="25"/>
        <v>2009Q3</v>
      </c>
      <c r="P196">
        <f t="shared" si="26"/>
        <v>3</v>
      </c>
      <c r="Q196">
        <v>1829895</v>
      </c>
      <c r="R196">
        <v>-1692</v>
      </c>
      <c r="S196">
        <f t="shared" si="27"/>
        <v>29177</v>
      </c>
    </row>
    <row r="197" spans="1:19" x14ac:dyDescent="0.35">
      <c r="A197" s="1">
        <v>40087</v>
      </c>
      <c r="B197">
        <v>995077</v>
      </c>
      <c r="C197">
        <v>24539</v>
      </c>
      <c r="D197">
        <v>334170</v>
      </c>
      <c r="E197">
        <v>2674</v>
      </c>
      <c r="F197">
        <v>-5403</v>
      </c>
      <c r="G197">
        <v>408613</v>
      </c>
      <c r="H197">
        <v>92977</v>
      </c>
      <c r="I197">
        <f t="shared" si="21"/>
        <v>1019616</v>
      </c>
      <c r="J197">
        <f t="shared" si="22"/>
        <v>336844</v>
      </c>
      <c r="K197">
        <f t="shared" si="23"/>
        <v>501590</v>
      </c>
      <c r="L197">
        <v>515488</v>
      </c>
      <c r="M197">
        <v>552424</v>
      </c>
      <c r="N197">
        <f t="shared" si="24"/>
        <v>1821114</v>
      </c>
      <c r="O197" t="str">
        <f t="shared" si="25"/>
        <v>2009Q4</v>
      </c>
      <c r="P197">
        <f t="shared" si="26"/>
        <v>4</v>
      </c>
      <c r="Q197">
        <v>1858280</v>
      </c>
      <c r="R197">
        <v>-440</v>
      </c>
      <c r="S197">
        <f t="shared" si="27"/>
        <v>37166</v>
      </c>
    </row>
    <row r="198" spans="1:19" x14ac:dyDescent="0.35">
      <c r="A198" s="1">
        <v>40179</v>
      </c>
      <c r="B198">
        <v>1006207</v>
      </c>
      <c r="C198">
        <v>24773</v>
      </c>
      <c r="D198">
        <v>348687</v>
      </c>
      <c r="E198">
        <v>2630</v>
      </c>
      <c r="F198">
        <v>4407</v>
      </c>
      <c r="G198">
        <v>412274</v>
      </c>
      <c r="H198">
        <v>93657</v>
      </c>
      <c r="I198">
        <f t="shared" si="21"/>
        <v>1030980</v>
      </c>
      <c r="J198">
        <f t="shared" si="22"/>
        <v>351317</v>
      </c>
      <c r="K198">
        <f t="shared" si="23"/>
        <v>505931</v>
      </c>
      <c r="L198">
        <v>522667</v>
      </c>
      <c r="M198">
        <v>576792</v>
      </c>
      <c r="N198">
        <f t="shared" si="24"/>
        <v>1834103</v>
      </c>
      <c r="O198" t="str">
        <f t="shared" si="25"/>
        <v>2010Q1</v>
      </c>
      <c r="P198">
        <f t="shared" si="26"/>
        <v>1</v>
      </c>
      <c r="Q198">
        <v>1888088</v>
      </c>
      <c r="R198">
        <v>-944</v>
      </c>
      <c r="S198">
        <f t="shared" si="27"/>
        <v>53985</v>
      </c>
    </row>
    <row r="199" spans="1:19" x14ac:dyDescent="0.35">
      <c r="A199" s="1">
        <v>40269</v>
      </c>
      <c r="B199">
        <v>1014755</v>
      </c>
      <c r="C199">
        <v>25089</v>
      </c>
      <c r="D199">
        <v>357141</v>
      </c>
      <c r="E199">
        <v>2677</v>
      </c>
      <c r="F199">
        <v>-5411</v>
      </c>
      <c r="G199">
        <v>411805</v>
      </c>
      <c r="H199">
        <v>94626</v>
      </c>
      <c r="I199">
        <f t="shared" si="21"/>
        <v>1039844</v>
      </c>
      <c r="J199">
        <f t="shared" si="22"/>
        <v>359818</v>
      </c>
      <c r="K199">
        <f t="shared" si="23"/>
        <v>506431</v>
      </c>
      <c r="L199">
        <v>539803</v>
      </c>
      <c r="M199">
        <v>593040</v>
      </c>
      <c r="N199">
        <f t="shared" si="24"/>
        <v>1852856</v>
      </c>
      <c r="O199" t="str">
        <f t="shared" si="25"/>
        <v>2010Q2</v>
      </c>
      <c r="P199">
        <f t="shared" si="26"/>
        <v>2</v>
      </c>
      <c r="Q199">
        <v>1905865</v>
      </c>
      <c r="R199">
        <v>-1184</v>
      </c>
      <c r="S199">
        <f t="shared" si="27"/>
        <v>53009</v>
      </c>
    </row>
    <row r="200" spans="1:19" x14ac:dyDescent="0.35">
      <c r="A200" s="1">
        <v>40360</v>
      </c>
      <c r="B200">
        <v>1022938</v>
      </c>
      <c r="C200">
        <v>25282</v>
      </c>
      <c r="D200">
        <v>362338</v>
      </c>
      <c r="E200">
        <v>2696</v>
      </c>
      <c r="F200">
        <v>4900</v>
      </c>
      <c r="G200">
        <v>413263</v>
      </c>
      <c r="H200">
        <v>94562</v>
      </c>
      <c r="I200">
        <f t="shared" si="21"/>
        <v>1048220</v>
      </c>
      <c r="J200">
        <f t="shared" si="22"/>
        <v>365034</v>
      </c>
      <c r="K200">
        <f t="shared" si="23"/>
        <v>507825</v>
      </c>
      <c r="L200">
        <v>539704</v>
      </c>
      <c r="M200">
        <v>604207</v>
      </c>
      <c r="N200">
        <f t="shared" si="24"/>
        <v>1856576</v>
      </c>
      <c r="O200" t="str">
        <f t="shared" si="25"/>
        <v>2010Q3</v>
      </c>
      <c r="P200">
        <f t="shared" si="26"/>
        <v>3</v>
      </c>
      <c r="Q200">
        <v>1920848</v>
      </c>
      <c r="R200">
        <v>-2377</v>
      </c>
      <c r="S200">
        <f t="shared" si="27"/>
        <v>64272</v>
      </c>
    </row>
    <row r="201" spans="1:19" x14ac:dyDescent="0.35">
      <c r="A201" s="1">
        <v>40452</v>
      </c>
      <c r="B201">
        <v>1032231</v>
      </c>
      <c r="C201">
        <v>26024</v>
      </c>
      <c r="D201">
        <v>371012</v>
      </c>
      <c r="E201">
        <v>2855</v>
      </c>
      <c r="F201">
        <v>-6825</v>
      </c>
      <c r="G201">
        <v>416126</v>
      </c>
      <c r="H201">
        <v>93827</v>
      </c>
      <c r="I201">
        <f t="shared" si="21"/>
        <v>1058255</v>
      </c>
      <c r="J201">
        <f t="shared" si="22"/>
        <v>373867</v>
      </c>
      <c r="K201">
        <f t="shared" si="23"/>
        <v>509953</v>
      </c>
      <c r="L201">
        <v>552788</v>
      </c>
      <c r="M201">
        <v>606590</v>
      </c>
      <c r="N201">
        <f t="shared" si="24"/>
        <v>1888273</v>
      </c>
      <c r="O201" t="str">
        <f t="shared" si="25"/>
        <v>2010Q4</v>
      </c>
      <c r="P201">
        <f t="shared" si="26"/>
        <v>4</v>
      </c>
      <c r="Q201">
        <v>1941736</v>
      </c>
      <c r="R201">
        <v>-1586</v>
      </c>
      <c r="S201">
        <f t="shared" si="27"/>
        <v>53463</v>
      </c>
    </row>
    <row r="202" spans="1:19" x14ac:dyDescent="0.35">
      <c r="A202" s="1">
        <v>40544</v>
      </c>
      <c r="B202">
        <v>1034075</v>
      </c>
      <c r="C202">
        <v>26497</v>
      </c>
      <c r="D202">
        <v>378262</v>
      </c>
      <c r="E202">
        <v>2664</v>
      </c>
      <c r="F202">
        <v>11691</v>
      </c>
      <c r="G202">
        <v>416461</v>
      </c>
      <c r="H202">
        <v>91761</v>
      </c>
      <c r="I202">
        <f t="shared" si="21"/>
        <v>1060572</v>
      </c>
      <c r="J202">
        <f t="shared" si="22"/>
        <v>380926</v>
      </c>
      <c r="K202">
        <f t="shared" si="23"/>
        <v>508222</v>
      </c>
      <c r="L202">
        <v>553765</v>
      </c>
      <c r="M202">
        <v>619997</v>
      </c>
      <c r="N202">
        <f t="shared" si="24"/>
        <v>1883488</v>
      </c>
      <c r="O202" t="str">
        <f t="shared" si="25"/>
        <v>2011Q1</v>
      </c>
      <c r="P202">
        <f t="shared" si="26"/>
        <v>1</v>
      </c>
      <c r="Q202">
        <v>1949208</v>
      </c>
      <c r="R202">
        <v>-1251</v>
      </c>
      <c r="S202">
        <f t="shared" si="27"/>
        <v>65720</v>
      </c>
    </row>
    <row r="203" spans="1:19" x14ac:dyDescent="0.35">
      <c r="A203" s="1">
        <v>40634</v>
      </c>
      <c r="B203">
        <v>1038684</v>
      </c>
      <c r="C203">
        <v>26753</v>
      </c>
      <c r="D203">
        <v>385379</v>
      </c>
      <c r="E203">
        <v>2731</v>
      </c>
      <c r="F203">
        <v>18831</v>
      </c>
      <c r="G203">
        <v>418038</v>
      </c>
      <c r="H203">
        <v>88692</v>
      </c>
      <c r="I203">
        <f t="shared" si="21"/>
        <v>1065437</v>
      </c>
      <c r="J203">
        <f t="shared" si="22"/>
        <v>388110</v>
      </c>
      <c r="K203">
        <f t="shared" si="23"/>
        <v>506730</v>
      </c>
      <c r="L203">
        <v>545629</v>
      </c>
      <c r="M203">
        <v>625892</v>
      </c>
      <c r="N203">
        <f t="shared" si="24"/>
        <v>1880014</v>
      </c>
      <c r="O203" t="str">
        <f t="shared" si="25"/>
        <v>2011Q2</v>
      </c>
      <c r="P203">
        <f t="shared" si="26"/>
        <v>2</v>
      </c>
      <c r="Q203">
        <v>1959654</v>
      </c>
      <c r="R203">
        <v>-980</v>
      </c>
      <c r="S203">
        <f t="shared" si="27"/>
        <v>79640</v>
      </c>
    </row>
    <row r="204" spans="1:19" x14ac:dyDescent="0.35">
      <c r="A204" s="1">
        <v>40725</v>
      </c>
      <c r="B204">
        <v>1042916</v>
      </c>
      <c r="C204">
        <v>27111</v>
      </c>
      <c r="D204">
        <v>390832</v>
      </c>
      <c r="E204">
        <v>2738</v>
      </c>
      <c r="F204">
        <v>11110</v>
      </c>
      <c r="G204">
        <v>419860</v>
      </c>
      <c r="H204">
        <v>85183</v>
      </c>
      <c r="I204">
        <f t="shared" si="21"/>
        <v>1070027</v>
      </c>
      <c r="J204">
        <f t="shared" si="22"/>
        <v>393570</v>
      </c>
      <c r="K204">
        <f t="shared" si="23"/>
        <v>505043</v>
      </c>
      <c r="L204">
        <v>575786</v>
      </c>
      <c r="M204">
        <v>630834</v>
      </c>
      <c r="N204">
        <f t="shared" si="24"/>
        <v>1913592</v>
      </c>
      <c r="O204" t="str">
        <f t="shared" si="25"/>
        <v>2011Q3</v>
      </c>
      <c r="P204">
        <f t="shared" si="26"/>
        <v>3</v>
      </c>
      <c r="Q204">
        <v>1967977</v>
      </c>
      <c r="R204">
        <v>-1331</v>
      </c>
      <c r="S204">
        <f t="shared" si="27"/>
        <v>54385</v>
      </c>
    </row>
    <row r="205" spans="1:19" x14ac:dyDescent="0.35">
      <c r="A205" s="1">
        <v>40817</v>
      </c>
      <c r="B205">
        <v>1049329</v>
      </c>
      <c r="C205">
        <v>27102</v>
      </c>
      <c r="D205">
        <v>398389</v>
      </c>
      <c r="E205">
        <v>2765</v>
      </c>
      <c r="F205">
        <v>12899</v>
      </c>
      <c r="G205">
        <v>420780</v>
      </c>
      <c r="H205">
        <v>82332</v>
      </c>
      <c r="I205">
        <f t="shared" si="21"/>
        <v>1076431</v>
      </c>
      <c r="J205">
        <f t="shared" si="22"/>
        <v>401154</v>
      </c>
      <c r="K205">
        <f t="shared" si="23"/>
        <v>503112</v>
      </c>
      <c r="L205">
        <v>583161</v>
      </c>
      <c r="M205">
        <v>637038</v>
      </c>
      <c r="N205">
        <f t="shared" si="24"/>
        <v>1926820</v>
      </c>
      <c r="O205" t="str">
        <f t="shared" si="25"/>
        <v>2011Q4</v>
      </c>
      <c r="P205">
        <f t="shared" si="26"/>
        <v>4</v>
      </c>
      <c r="Q205">
        <v>1979940</v>
      </c>
      <c r="R205">
        <v>-874</v>
      </c>
      <c r="S205">
        <f t="shared" si="27"/>
        <v>53120</v>
      </c>
    </row>
    <row r="206" spans="1:19" x14ac:dyDescent="0.35">
      <c r="A206" s="1">
        <v>40909</v>
      </c>
      <c r="B206">
        <v>1055390</v>
      </c>
      <c r="C206">
        <v>27076</v>
      </c>
      <c r="D206">
        <v>409763</v>
      </c>
      <c r="E206">
        <v>2857</v>
      </c>
      <c r="F206">
        <v>7176</v>
      </c>
      <c r="G206">
        <v>421337</v>
      </c>
      <c r="H206">
        <v>84278</v>
      </c>
      <c r="I206">
        <f t="shared" si="21"/>
        <v>1082466</v>
      </c>
      <c r="J206">
        <f t="shared" si="22"/>
        <v>412620</v>
      </c>
      <c r="K206">
        <f t="shared" si="23"/>
        <v>505615</v>
      </c>
      <c r="L206">
        <v>582134</v>
      </c>
      <c r="M206">
        <v>648493</v>
      </c>
      <c r="N206">
        <f t="shared" si="24"/>
        <v>1934342</v>
      </c>
      <c r="O206" t="str">
        <f t="shared" si="25"/>
        <v>2012Q1</v>
      </c>
      <c r="P206">
        <f t="shared" si="26"/>
        <v>1</v>
      </c>
      <c r="Q206">
        <v>1999601</v>
      </c>
      <c r="R206">
        <v>-1602</v>
      </c>
      <c r="S206">
        <f t="shared" si="27"/>
        <v>65259</v>
      </c>
    </row>
    <row r="207" spans="1:19" x14ac:dyDescent="0.35">
      <c r="A207" s="1">
        <v>41000</v>
      </c>
      <c r="B207">
        <v>1056611</v>
      </c>
      <c r="C207">
        <v>27351</v>
      </c>
      <c r="D207">
        <v>413957</v>
      </c>
      <c r="E207">
        <v>3013</v>
      </c>
      <c r="F207">
        <v>6758</v>
      </c>
      <c r="G207">
        <v>420190</v>
      </c>
      <c r="H207">
        <v>85129</v>
      </c>
      <c r="I207">
        <f t="shared" si="21"/>
        <v>1083962</v>
      </c>
      <c r="J207">
        <f t="shared" si="22"/>
        <v>416970</v>
      </c>
      <c r="K207">
        <f t="shared" si="23"/>
        <v>505319</v>
      </c>
      <c r="L207">
        <v>582627</v>
      </c>
      <c r="M207">
        <v>648668</v>
      </c>
      <c r="N207">
        <f t="shared" si="24"/>
        <v>1940210</v>
      </c>
      <c r="O207" t="str">
        <f t="shared" si="25"/>
        <v>2012Q2</v>
      </c>
      <c r="P207">
        <f t="shared" si="26"/>
        <v>2</v>
      </c>
      <c r="Q207">
        <v>2005032</v>
      </c>
      <c r="R207">
        <v>-1267</v>
      </c>
      <c r="S207">
        <f t="shared" si="27"/>
        <v>64822</v>
      </c>
    </row>
    <row r="208" spans="1:19" x14ac:dyDescent="0.35">
      <c r="A208" s="1">
        <v>41091</v>
      </c>
      <c r="B208">
        <v>1063083</v>
      </c>
      <c r="C208">
        <v>27501</v>
      </c>
      <c r="D208">
        <v>413779</v>
      </c>
      <c r="E208">
        <v>3107</v>
      </c>
      <c r="F208">
        <v>11236</v>
      </c>
      <c r="G208">
        <v>422795</v>
      </c>
      <c r="H208">
        <v>84507</v>
      </c>
      <c r="I208">
        <f t="shared" si="21"/>
        <v>1090584</v>
      </c>
      <c r="J208">
        <f t="shared" si="22"/>
        <v>416886</v>
      </c>
      <c r="K208">
        <f t="shared" si="23"/>
        <v>507302</v>
      </c>
      <c r="L208">
        <v>578728</v>
      </c>
      <c r="M208">
        <v>655658</v>
      </c>
      <c r="N208">
        <f t="shared" si="24"/>
        <v>1937842</v>
      </c>
      <c r="O208" t="str">
        <f t="shared" si="25"/>
        <v>2012Q3</v>
      </c>
      <c r="P208">
        <f t="shared" si="26"/>
        <v>3</v>
      </c>
      <c r="Q208">
        <v>2013664</v>
      </c>
      <c r="R208">
        <v>-429</v>
      </c>
      <c r="S208">
        <f t="shared" si="27"/>
        <v>75822</v>
      </c>
    </row>
    <row r="209" spans="1:19" x14ac:dyDescent="0.35">
      <c r="A209" s="1">
        <v>41183</v>
      </c>
      <c r="B209">
        <v>1068940</v>
      </c>
      <c r="C209">
        <v>27528</v>
      </c>
      <c r="D209">
        <v>418203</v>
      </c>
      <c r="E209">
        <v>3123</v>
      </c>
      <c r="F209">
        <v>6365</v>
      </c>
      <c r="G209">
        <v>422510</v>
      </c>
      <c r="H209">
        <v>83713</v>
      </c>
      <c r="I209">
        <f t="shared" si="21"/>
        <v>1096468</v>
      </c>
      <c r="J209">
        <f t="shared" si="22"/>
        <v>421326</v>
      </c>
      <c r="K209">
        <f t="shared" si="23"/>
        <v>506223</v>
      </c>
      <c r="L209">
        <v>577277</v>
      </c>
      <c r="M209">
        <v>653388</v>
      </c>
      <c r="N209">
        <f t="shared" si="24"/>
        <v>1947906</v>
      </c>
      <c r="O209" t="str">
        <f t="shared" si="25"/>
        <v>2012Q4</v>
      </c>
      <c r="P209">
        <f t="shared" si="26"/>
        <v>4</v>
      </c>
      <c r="Q209">
        <v>2022874</v>
      </c>
      <c r="R209">
        <v>-1085</v>
      </c>
      <c r="S209">
        <f t="shared" si="27"/>
        <v>74968</v>
      </c>
    </row>
    <row r="210" spans="1:19" x14ac:dyDescent="0.35">
      <c r="A210" s="1">
        <v>41275</v>
      </c>
      <c r="B210">
        <v>1075684</v>
      </c>
      <c r="C210">
        <v>28126</v>
      </c>
      <c r="D210">
        <v>421856</v>
      </c>
      <c r="E210">
        <v>3191</v>
      </c>
      <c r="F210">
        <v>16650</v>
      </c>
      <c r="G210">
        <v>418089</v>
      </c>
      <c r="H210">
        <v>82796</v>
      </c>
      <c r="I210">
        <f t="shared" si="21"/>
        <v>1103810</v>
      </c>
      <c r="J210">
        <f t="shared" si="22"/>
        <v>425047</v>
      </c>
      <c r="K210">
        <f t="shared" si="23"/>
        <v>500885</v>
      </c>
      <c r="L210">
        <v>586400</v>
      </c>
      <c r="M210">
        <v>661085</v>
      </c>
      <c r="N210">
        <f t="shared" si="24"/>
        <v>1955057</v>
      </c>
      <c r="O210" t="str">
        <f t="shared" si="25"/>
        <v>2013Q1</v>
      </c>
      <c r="P210">
        <f t="shared" si="26"/>
        <v>1</v>
      </c>
      <c r="Q210">
        <v>2028609</v>
      </c>
      <c r="R210">
        <v>-1473</v>
      </c>
      <c r="S210">
        <f t="shared" si="27"/>
        <v>73552</v>
      </c>
    </row>
    <row r="211" spans="1:19" x14ac:dyDescent="0.35">
      <c r="A211" s="1">
        <v>41365</v>
      </c>
      <c r="B211">
        <v>1085631</v>
      </c>
      <c r="C211">
        <v>28301</v>
      </c>
      <c r="D211">
        <v>425564</v>
      </c>
      <c r="E211">
        <v>3135</v>
      </c>
      <c r="F211">
        <v>13293</v>
      </c>
      <c r="G211">
        <v>416227</v>
      </c>
      <c r="H211">
        <v>79331</v>
      </c>
      <c r="I211">
        <f t="shared" si="21"/>
        <v>1113932</v>
      </c>
      <c r="J211">
        <f t="shared" si="22"/>
        <v>428699</v>
      </c>
      <c r="K211">
        <f t="shared" si="23"/>
        <v>495558</v>
      </c>
      <c r="L211">
        <v>597154</v>
      </c>
      <c r="M211">
        <v>668071</v>
      </c>
      <c r="N211">
        <f t="shared" si="24"/>
        <v>1967272</v>
      </c>
      <c r="O211" t="str">
        <f t="shared" si="25"/>
        <v>2013Q2</v>
      </c>
      <c r="P211">
        <f t="shared" si="26"/>
        <v>2</v>
      </c>
      <c r="Q211">
        <v>2037142</v>
      </c>
      <c r="R211">
        <v>553</v>
      </c>
      <c r="S211">
        <f t="shared" si="27"/>
        <v>69870</v>
      </c>
    </row>
    <row r="212" spans="1:19" x14ac:dyDescent="0.35">
      <c r="A212" s="1">
        <v>41456</v>
      </c>
      <c r="B212">
        <v>1093686</v>
      </c>
      <c r="C212">
        <v>28031</v>
      </c>
      <c r="D212">
        <v>426391</v>
      </c>
      <c r="E212">
        <v>3165</v>
      </c>
      <c r="F212">
        <v>20225</v>
      </c>
      <c r="G212">
        <v>418312</v>
      </c>
      <c r="H212">
        <v>79029</v>
      </c>
      <c r="I212">
        <f t="shared" si="21"/>
        <v>1121717</v>
      </c>
      <c r="J212">
        <f t="shared" si="22"/>
        <v>429556</v>
      </c>
      <c r="K212">
        <f t="shared" si="23"/>
        <v>497341</v>
      </c>
      <c r="L212">
        <v>592954</v>
      </c>
      <c r="M212">
        <v>665027</v>
      </c>
      <c r="N212">
        <f t="shared" si="24"/>
        <v>1976541</v>
      </c>
      <c r="O212" t="str">
        <f t="shared" si="25"/>
        <v>2013Q3</v>
      </c>
      <c r="P212">
        <f t="shared" si="26"/>
        <v>3</v>
      </c>
      <c r="Q212">
        <v>2047669</v>
      </c>
      <c r="R212">
        <v>1679</v>
      </c>
      <c r="S212">
        <f t="shared" si="27"/>
        <v>71128</v>
      </c>
    </row>
    <row r="213" spans="1:19" x14ac:dyDescent="0.35">
      <c r="A213" s="1">
        <v>41548</v>
      </c>
      <c r="B213">
        <v>1100513</v>
      </c>
      <c r="C213">
        <v>27886</v>
      </c>
      <c r="D213">
        <v>429673</v>
      </c>
      <c r="E213">
        <v>3215</v>
      </c>
      <c r="F213">
        <v>25883</v>
      </c>
      <c r="G213">
        <v>420884</v>
      </c>
      <c r="H213">
        <v>77563</v>
      </c>
      <c r="I213">
        <f t="shared" si="21"/>
        <v>1128399</v>
      </c>
      <c r="J213">
        <f t="shared" si="22"/>
        <v>432888</v>
      </c>
      <c r="K213">
        <f t="shared" si="23"/>
        <v>498447</v>
      </c>
      <c r="L213">
        <v>601196</v>
      </c>
      <c r="M213">
        <v>666266</v>
      </c>
      <c r="N213">
        <f t="shared" si="24"/>
        <v>1994664</v>
      </c>
      <c r="O213" t="str">
        <f t="shared" si="25"/>
        <v>2013Q4</v>
      </c>
      <c r="P213">
        <f t="shared" si="26"/>
        <v>4</v>
      </c>
      <c r="Q213">
        <v>2058786</v>
      </c>
      <c r="R213">
        <v>-1220</v>
      </c>
      <c r="S213">
        <f t="shared" si="27"/>
        <v>64122</v>
      </c>
    </row>
    <row r="214" spans="1:19" x14ac:dyDescent="0.35">
      <c r="A214" s="1">
        <v>41640</v>
      </c>
      <c r="B214">
        <v>1104216</v>
      </c>
      <c r="C214">
        <v>27380</v>
      </c>
      <c r="D214">
        <v>431198</v>
      </c>
      <c r="E214">
        <v>3416</v>
      </c>
      <c r="F214">
        <v>22680</v>
      </c>
      <c r="G214">
        <v>422097</v>
      </c>
      <c r="H214">
        <v>77025</v>
      </c>
      <c r="I214">
        <f t="shared" si="21"/>
        <v>1131596</v>
      </c>
      <c r="J214">
        <f t="shared" si="22"/>
        <v>434614</v>
      </c>
      <c r="K214">
        <f t="shared" si="23"/>
        <v>499122</v>
      </c>
      <c r="L214">
        <v>599213</v>
      </c>
      <c r="M214">
        <v>662306</v>
      </c>
      <c r="N214">
        <f t="shared" si="24"/>
        <v>2002239</v>
      </c>
      <c r="O214" t="str">
        <f t="shared" si="25"/>
        <v>2014Q1</v>
      </c>
      <c r="P214">
        <f t="shared" si="26"/>
        <v>1</v>
      </c>
      <c r="Q214">
        <v>2064383</v>
      </c>
      <c r="R214">
        <v>-1598</v>
      </c>
      <c r="S214">
        <f t="shared" si="27"/>
        <v>62144</v>
      </c>
    </row>
    <row r="215" spans="1:19" x14ac:dyDescent="0.35">
      <c r="A215" s="1">
        <v>41730</v>
      </c>
      <c r="B215">
        <v>1114332</v>
      </c>
      <c r="C215">
        <v>27586</v>
      </c>
      <c r="D215">
        <v>436240</v>
      </c>
      <c r="E215">
        <v>3464</v>
      </c>
      <c r="F215">
        <v>10406</v>
      </c>
      <c r="G215">
        <v>420519</v>
      </c>
      <c r="H215">
        <v>76399</v>
      </c>
      <c r="I215">
        <f t="shared" si="21"/>
        <v>1141918</v>
      </c>
      <c r="J215">
        <f t="shared" si="22"/>
        <v>439704</v>
      </c>
      <c r="K215">
        <f t="shared" si="23"/>
        <v>496918</v>
      </c>
      <c r="L215">
        <v>635431</v>
      </c>
      <c r="M215">
        <v>684667</v>
      </c>
      <c r="N215">
        <f t="shared" si="24"/>
        <v>2029304</v>
      </c>
      <c r="O215" t="str">
        <f t="shared" si="25"/>
        <v>2014Q2</v>
      </c>
      <c r="P215">
        <f t="shared" si="26"/>
        <v>2</v>
      </c>
      <c r="Q215">
        <v>2077562</v>
      </c>
      <c r="R215">
        <v>-225</v>
      </c>
      <c r="S215">
        <f t="shared" si="27"/>
        <v>48258</v>
      </c>
    </row>
    <row r="216" spans="1:19" x14ac:dyDescent="0.35">
      <c r="A216" s="1">
        <v>41821</v>
      </c>
      <c r="B216">
        <v>1122436</v>
      </c>
      <c r="C216">
        <v>27984</v>
      </c>
      <c r="D216">
        <v>442824</v>
      </c>
      <c r="E216">
        <v>3376</v>
      </c>
      <c r="F216">
        <v>5842</v>
      </c>
      <c r="G216">
        <v>420711</v>
      </c>
      <c r="H216">
        <v>76993</v>
      </c>
      <c r="I216">
        <f t="shared" si="21"/>
        <v>1150420</v>
      </c>
      <c r="J216">
        <f t="shared" si="22"/>
        <v>446200</v>
      </c>
      <c r="K216">
        <f t="shared" si="23"/>
        <v>497704</v>
      </c>
      <c r="L216">
        <v>644921</v>
      </c>
      <c r="M216">
        <v>687471</v>
      </c>
      <c r="N216">
        <f t="shared" si="24"/>
        <v>2051774</v>
      </c>
      <c r="O216" t="str">
        <f t="shared" si="25"/>
        <v>2014Q3</v>
      </c>
      <c r="P216">
        <f t="shared" si="26"/>
        <v>3</v>
      </c>
      <c r="Q216">
        <v>2093243</v>
      </c>
      <c r="R216">
        <v>249</v>
      </c>
      <c r="S216">
        <f t="shared" si="27"/>
        <v>41469</v>
      </c>
    </row>
    <row r="217" spans="1:19" x14ac:dyDescent="0.35">
      <c r="A217" s="1">
        <v>41913</v>
      </c>
      <c r="B217">
        <v>1130580</v>
      </c>
      <c r="C217">
        <v>28472</v>
      </c>
      <c r="D217">
        <v>449476</v>
      </c>
      <c r="E217">
        <v>3248</v>
      </c>
      <c r="F217">
        <v>8687</v>
      </c>
      <c r="G217">
        <v>419438</v>
      </c>
      <c r="H217">
        <v>77413</v>
      </c>
      <c r="I217">
        <f t="shared" si="21"/>
        <v>1159052</v>
      </c>
      <c r="J217">
        <f t="shared" si="22"/>
        <v>452724</v>
      </c>
      <c r="K217">
        <f t="shared" si="23"/>
        <v>496851</v>
      </c>
      <c r="L217">
        <v>648388</v>
      </c>
      <c r="M217">
        <v>692956</v>
      </c>
      <c r="N217">
        <f t="shared" si="24"/>
        <v>2064059</v>
      </c>
      <c r="O217" t="str">
        <f t="shared" si="25"/>
        <v>2014Q4</v>
      </c>
      <c r="P217">
        <f t="shared" si="26"/>
        <v>4</v>
      </c>
      <c r="Q217">
        <v>2107453</v>
      </c>
      <c r="R217">
        <v>-723</v>
      </c>
      <c r="S217">
        <f t="shared" si="27"/>
        <v>43394</v>
      </c>
    </row>
    <row r="218" spans="1:19" x14ac:dyDescent="0.35">
      <c r="A218" s="1">
        <v>42005</v>
      </c>
      <c r="B218">
        <v>1132744</v>
      </c>
      <c r="C218">
        <v>28271</v>
      </c>
      <c r="D218">
        <v>425239</v>
      </c>
      <c r="E218">
        <v>3077</v>
      </c>
      <c r="F218">
        <v>14284</v>
      </c>
      <c r="G218">
        <v>425153</v>
      </c>
      <c r="H218">
        <v>79438</v>
      </c>
      <c r="I218">
        <f t="shared" si="21"/>
        <v>1161015</v>
      </c>
      <c r="J218">
        <f t="shared" si="22"/>
        <v>428316</v>
      </c>
      <c r="K218">
        <f t="shared" si="23"/>
        <v>504591</v>
      </c>
      <c r="L218">
        <v>641770</v>
      </c>
      <c r="M218">
        <v>689821</v>
      </c>
      <c r="N218">
        <f t="shared" si="24"/>
        <v>2045871</v>
      </c>
      <c r="O218" t="str">
        <f t="shared" si="25"/>
        <v>2015Q1</v>
      </c>
      <c r="P218">
        <f t="shared" si="26"/>
        <v>1</v>
      </c>
      <c r="Q218">
        <v>2093222</v>
      </c>
      <c r="R218">
        <v>-224</v>
      </c>
      <c r="S218">
        <f t="shared" si="27"/>
        <v>47351</v>
      </c>
    </row>
    <row r="219" spans="1:19" x14ac:dyDescent="0.35">
      <c r="A219" s="1">
        <v>42095</v>
      </c>
      <c r="B219">
        <v>1138294</v>
      </c>
      <c r="C219">
        <v>28961</v>
      </c>
      <c r="D219">
        <v>413212</v>
      </c>
      <c r="E219">
        <v>3072</v>
      </c>
      <c r="F219">
        <v>9598</v>
      </c>
      <c r="G219">
        <v>425599</v>
      </c>
      <c r="H219">
        <v>77473</v>
      </c>
      <c r="I219">
        <f t="shared" si="21"/>
        <v>1167255</v>
      </c>
      <c r="J219">
        <f t="shared" si="22"/>
        <v>416284</v>
      </c>
      <c r="K219">
        <f t="shared" si="23"/>
        <v>503072</v>
      </c>
      <c r="L219">
        <v>650429</v>
      </c>
      <c r="M219">
        <v>691493</v>
      </c>
      <c r="N219">
        <f t="shared" si="24"/>
        <v>2045547</v>
      </c>
      <c r="O219" t="str">
        <f t="shared" si="25"/>
        <v>2015Q2</v>
      </c>
      <c r="P219">
        <f t="shared" si="26"/>
        <v>2</v>
      </c>
      <c r="Q219">
        <v>2086142</v>
      </c>
      <c r="R219">
        <v>-843</v>
      </c>
      <c r="S219">
        <f t="shared" si="27"/>
        <v>40595</v>
      </c>
    </row>
    <row r="220" spans="1:19" x14ac:dyDescent="0.35">
      <c r="A220" s="1">
        <v>42186</v>
      </c>
      <c r="B220">
        <v>1146797</v>
      </c>
      <c r="C220">
        <v>29269</v>
      </c>
      <c r="D220">
        <v>406784</v>
      </c>
      <c r="E220">
        <v>3099</v>
      </c>
      <c r="F220">
        <v>-9116</v>
      </c>
      <c r="G220">
        <v>428068</v>
      </c>
      <c r="H220">
        <v>77559</v>
      </c>
      <c r="I220">
        <f t="shared" si="21"/>
        <v>1176066</v>
      </c>
      <c r="J220">
        <f t="shared" si="22"/>
        <v>409883</v>
      </c>
      <c r="K220">
        <f t="shared" si="23"/>
        <v>505627</v>
      </c>
      <c r="L220">
        <v>663503</v>
      </c>
      <c r="M220">
        <v>683269</v>
      </c>
      <c r="N220">
        <f t="shared" si="24"/>
        <v>2071810</v>
      </c>
      <c r="O220" t="str">
        <f t="shared" si="25"/>
        <v>2015Q3</v>
      </c>
      <c r="P220">
        <f t="shared" si="26"/>
        <v>3</v>
      </c>
      <c r="Q220">
        <v>2091263</v>
      </c>
      <c r="R220">
        <v>-1304</v>
      </c>
      <c r="S220">
        <f t="shared" si="27"/>
        <v>19453</v>
      </c>
    </row>
    <row r="221" spans="1:19" x14ac:dyDescent="0.35">
      <c r="A221" s="1">
        <v>42278</v>
      </c>
      <c r="B221">
        <v>1154867</v>
      </c>
      <c r="C221">
        <v>30164</v>
      </c>
      <c r="D221">
        <v>402435</v>
      </c>
      <c r="E221">
        <v>3039</v>
      </c>
      <c r="F221">
        <v>-6372</v>
      </c>
      <c r="G221">
        <v>426881</v>
      </c>
      <c r="H221">
        <v>78048</v>
      </c>
      <c r="I221">
        <f t="shared" si="21"/>
        <v>1185031</v>
      </c>
      <c r="J221">
        <f t="shared" si="22"/>
        <v>405474</v>
      </c>
      <c r="K221">
        <f t="shared" si="23"/>
        <v>504929</v>
      </c>
      <c r="L221">
        <v>658172</v>
      </c>
      <c r="M221">
        <v>683540</v>
      </c>
      <c r="N221">
        <f t="shared" si="24"/>
        <v>2070066</v>
      </c>
      <c r="O221" t="str">
        <f t="shared" si="25"/>
        <v>2015Q4</v>
      </c>
      <c r="P221">
        <f t="shared" si="26"/>
        <v>4</v>
      </c>
      <c r="Q221">
        <v>2095249</v>
      </c>
      <c r="R221">
        <v>-1200</v>
      </c>
      <c r="S221">
        <f t="shared" si="27"/>
        <v>25183</v>
      </c>
    </row>
    <row r="222" spans="1:19" x14ac:dyDescent="0.35">
      <c r="A222" s="1">
        <v>42370</v>
      </c>
      <c r="B222">
        <v>1155549</v>
      </c>
      <c r="C222">
        <v>31055</v>
      </c>
      <c r="D222">
        <v>392215</v>
      </c>
      <c r="E222">
        <v>2418</v>
      </c>
      <c r="F222">
        <v>-4863</v>
      </c>
      <c r="G222">
        <v>430380</v>
      </c>
      <c r="H222">
        <v>79321</v>
      </c>
      <c r="I222">
        <f t="shared" si="21"/>
        <v>1186604</v>
      </c>
      <c r="J222">
        <f t="shared" si="22"/>
        <v>394633</v>
      </c>
      <c r="K222">
        <f t="shared" si="23"/>
        <v>509701</v>
      </c>
      <c r="L222">
        <v>673120</v>
      </c>
      <c r="M222">
        <v>685285</v>
      </c>
      <c r="N222">
        <f t="shared" si="24"/>
        <v>2078773</v>
      </c>
      <c r="O222" t="str">
        <f t="shared" si="25"/>
        <v>2016Q1</v>
      </c>
      <c r="P222">
        <f t="shared" si="26"/>
        <v>1</v>
      </c>
      <c r="Q222">
        <v>2090857</v>
      </c>
      <c r="R222">
        <v>1211</v>
      </c>
      <c r="S222">
        <f t="shared" si="27"/>
        <v>12084</v>
      </c>
    </row>
    <row r="223" spans="1:19" x14ac:dyDescent="0.35">
      <c r="A223" s="1">
        <v>42461</v>
      </c>
      <c r="B223">
        <v>1160112</v>
      </c>
      <c r="C223">
        <v>32152</v>
      </c>
      <c r="D223">
        <v>390639</v>
      </c>
      <c r="E223">
        <v>2245</v>
      </c>
      <c r="F223">
        <v>6058</v>
      </c>
      <c r="G223">
        <v>434964</v>
      </c>
      <c r="H223">
        <v>77640</v>
      </c>
      <c r="I223">
        <f t="shared" si="21"/>
        <v>1192264</v>
      </c>
      <c r="J223">
        <f t="shared" si="22"/>
        <v>392884</v>
      </c>
      <c r="K223">
        <f t="shared" si="23"/>
        <v>512604</v>
      </c>
      <c r="L223">
        <v>645544</v>
      </c>
      <c r="M223">
        <v>687237</v>
      </c>
      <c r="N223">
        <f t="shared" si="24"/>
        <v>2056059</v>
      </c>
      <c r="O223" t="str">
        <f t="shared" si="25"/>
        <v>2016Q2</v>
      </c>
      <c r="P223">
        <f t="shared" si="26"/>
        <v>2</v>
      </c>
      <c r="Q223">
        <v>2097674</v>
      </c>
      <c r="R223">
        <v>1573</v>
      </c>
      <c r="S223">
        <f t="shared" si="27"/>
        <v>41615</v>
      </c>
    </row>
    <row r="224" spans="1:19" x14ac:dyDescent="0.35">
      <c r="A224" s="1">
        <v>42552</v>
      </c>
      <c r="B224">
        <v>1168218</v>
      </c>
      <c r="C224">
        <v>32165</v>
      </c>
      <c r="D224">
        <v>392680</v>
      </c>
      <c r="E224">
        <v>2172</v>
      </c>
      <c r="F224">
        <v>7136</v>
      </c>
      <c r="G224">
        <v>434878</v>
      </c>
      <c r="H224">
        <v>77039</v>
      </c>
      <c r="I224">
        <f t="shared" si="21"/>
        <v>1200383</v>
      </c>
      <c r="J224">
        <f t="shared" si="22"/>
        <v>394852</v>
      </c>
      <c r="K224">
        <f t="shared" si="23"/>
        <v>511917</v>
      </c>
      <c r="L224">
        <v>664193</v>
      </c>
      <c r="M224">
        <v>694962</v>
      </c>
      <c r="N224">
        <f t="shared" si="24"/>
        <v>2076383</v>
      </c>
      <c r="O224" t="str">
        <f t="shared" si="25"/>
        <v>2016Q3</v>
      </c>
      <c r="P224">
        <f t="shared" si="26"/>
        <v>3</v>
      </c>
      <c r="Q224">
        <v>2107095</v>
      </c>
      <c r="R224">
        <v>1302</v>
      </c>
      <c r="S224">
        <f t="shared" si="27"/>
        <v>30712</v>
      </c>
    </row>
    <row r="225" spans="1:19" x14ac:dyDescent="0.35">
      <c r="A225" s="1">
        <v>42644</v>
      </c>
      <c r="B225">
        <v>1177060</v>
      </c>
      <c r="C225">
        <v>31792</v>
      </c>
      <c r="D225">
        <v>383863</v>
      </c>
      <c r="E225">
        <v>2199</v>
      </c>
      <c r="F225">
        <v>-3177</v>
      </c>
      <c r="G225">
        <v>435798</v>
      </c>
      <c r="H225">
        <v>78068</v>
      </c>
      <c r="I225">
        <f t="shared" si="21"/>
        <v>1208852</v>
      </c>
      <c r="J225">
        <f t="shared" si="22"/>
        <v>386062</v>
      </c>
      <c r="K225">
        <f t="shared" si="23"/>
        <v>513866</v>
      </c>
      <c r="L225">
        <v>670885</v>
      </c>
      <c r="M225">
        <v>682072</v>
      </c>
      <c r="N225">
        <f t="shared" si="24"/>
        <v>2097593</v>
      </c>
      <c r="O225" t="str">
        <f t="shared" si="25"/>
        <v>2016Q4</v>
      </c>
      <c r="P225">
        <f t="shared" si="26"/>
        <v>4</v>
      </c>
      <c r="Q225">
        <v>2108784</v>
      </c>
      <c r="R225">
        <v>1330</v>
      </c>
      <c r="S225">
        <f t="shared" si="27"/>
        <v>11191</v>
      </c>
    </row>
    <row r="226" spans="1:19" x14ac:dyDescent="0.35">
      <c r="A226" s="1">
        <v>42736</v>
      </c>
      <c r="B226">
        <v>1189849</v>
      </c>
      <c r="C226">
        <v>31752</v>
      </c>
      <c r="D226">
        <v>395970</v>
      </c>
      <c r="E226">
        <v>2228</v>
      </c>
      <c r="F226">
        <v>4094</v>
      </c>
      <c r="G226">
        <v>440122</v>
      </c>
      <c r="H226">
        <v>79267</v>
      </c>
      <c r="I226">
        <f t="shared" si="21"/>
        <v>1221601</v>
      </c>
      <c r="J226">
        <f t="shared" si="22"/>
        <v>398198</v>
      </c>
      <c r="K226">
        <f t="shared" si="23"/>
        <v>519389</v>
      </c>
      <c r="L226">
        <v>675574</v>
      </c>
      <c r="M226">
        <v>704661</v>
      </c>
      <c r="N226">
        <f t="shared" si="24"/>
        <v>2110101</v>
      </c>
      <c r="O226" t="str">
        <f t="shared" si="25"/>
        <v>2017Q1</v>
      </c>
      <c r="P226">
        <f t="shared" si="26"/>
        <v>1</v>
      </c>
      <c r="Q226">
        <v>2139176</v>
      </c>
      <c r="R226">
        <v>-1948</v>
      </c>
      <c r="S226">
        <f t="shared" si="27"/>
        <v>29075</v>
      </c>
    </row>
    <row r="227" spans="1:19" x14ac:dyDescent="0.35">
      <c r="A227" s="1">
        <v>42826</v>
      </c>
      <c r="B227">
        <v>1205490</v>
      </c>
      <c r="C227">
        <v>31744</v>
      </c>
      <c r="D227">
        <v>397971</v>
      </c>
      <c r="E227">
        <v>2328</v>
      </c>
      <c r="F227">
        <v>20653</v>
      </c>
      <c r="G227">
        <v>440746</v>
      </c>
      <c r="H227">
        <v>80851</v>
      </c>
      <c r="I227">
        <f t="shared" si="21"/>
        <v>1237234</v>
      </c>
      <c r="J227">
        <f t="shared" si="22"/>
        <v>400299</v>
      </c>
      <c r="K227">
        <f t="shared" si="23"/>
        <v>521597</v>
      </c>
      <c r="L227">
        <v>684781</v>
      </c>
      <c r="M227">
        <v>717598</v>
      </c>
      <c r="N227">
        <f t="shared" si="24"/>
        <v>2126313</v>
      </c>
      <c r="O227" t="str">
        <f t="shared" si="25"/>
        <v>2017Q2</v>
      </c>
      <c r="P227">
        <f t="shared" si="26"/>
        <v>2</v>
      </c>
      <c r="Q227">
        <v>2159135</v>
      </c>
      <c r="R227">
        <v>-169</v>
      </c>
      <c r="S227">
        <f t="shared" si="27"/>
        <v>32822</v>
      </c>
    </row>
    <row r="228" spans="1:19" x14ac:dyDescent="0.35">
      <c r="A228" s="1">
        <v>42917</v>
      </c>
      <c r="B228">
        <v>1217083</v>
      </c>
      <c r="C228">
        <v>32020</v>
      </c>
      <c r="D228">
        <v>398189</v>
      </c>
      <c r="E228">
        <v>2348</v>
      </c>
      <c r="F228">
        <v>29369</v>
      </c>
      <c r="G228">
        <v>444040</v>
      </c>
      <c r="H228">
        <v>84206</v>
      </c>
      <c r="I228">
        <f t="shared" si="21"/>
        <v>1249103</v>
      </c>
      <c r="J228">
        <f t="shared" si="22"/>
        <v>400537</v>
      </c>
      <c r="K228">
        <f t="shared" si="23"/>
        <v>528246</v>
      </c>
      <c r="L228">
        <v>660523</v>
      </c>
      <c r="M228">
        <v>720531</v>
      </c>
      <c r="N228">
        <f t="shared" si="24"/>
        <v>2117878</v>
      </c>
      <c r="O228" t="str">
        <f t="shared" si="25"/>
        <v>2017Q3</v>
      </c>
      <c r="P228">
        <f t="shared" si="26"/>
        <v>3</v>
      </c>
      <c r="Q228">
        <v>2177892</v>
      </c>
      <c r="R228">
        <v>-1033</v>
      </c>
      <c r="S228">
        <f t="shared" si="27"/>
        <v>60014</v>
      </c>
    </row>
    <row r="229" spans="1:19" x14ac:dyDescent="0.35">
      <c r="A229" s="1">
        <v>43009</v>
      </c>
      <c r="B229">
        <v>1224190</v>
      </c>
      <c r="C229">
        <v>32124</v>
      </c>
      <c r="D229">
        <v>409683</v>
      </c>
      <c r="E229">
        <v>2376</v>
      </c>
      <c r="F229">
        <v>19020</v>
      </c>
      <c r="G229">
        <v>447828</v>
      </c>
      <c r="H229">
        <v>87972</v>
      </c>
      <c r="I229">
        <f t="shared" si="21"/>
        <v>1256314</v>
      </c>
      <c r="J229">
        <f t="shared" si="22"/>
        <v>412059</v>
      </c>
      <c r="K229">
        <f t="shared" si="23"/>
        <v>535800</v>
      </c>
      <c r="L229">
        <v>672427</v>
      </c>
      <c r="M229">
        <v>738226</v>
      </c>
      <c r="N229">
        <f t="shared" si="24"/>
        <v>2138374</v>
      </c>
      <c r="O229" t="str">
        <f t="shared" si="25"/>
        <v>2017Q4</v>
      </c>
      <c r="P229">
        <f t="shared" si="26"/>
        <v>4</v>
      </c>
      <c r="Q229">
        <v>2204173</v>
      </c>
      <c r="R229">
        <v>-99</v>
      </c>
      <c r="S229">
        <f t="shared" si="27"/>
        <v>65799</v>
      </c>
    </row>
    <row r="230" spans="1:19" x14ac:dyDescent="0.35">
      <c r="A230" s="1">
        <v>43101</v>
      </c>
      <c r="B230">
        <v>1232356</v>
      </c>
      <c r="C230">
        <v>32384</v>
      </c>
      <c r="D230">
        <v>411601</v>
      </c>
      <c r="E230">
        <v>2405</v>
      </c>
      <c r="F230">
        <v>27335</v>
      </c>
      <c r="G230">
        <v>452103</v>
      </c>
      <c r="H230">
        <v>88225</v>
      </c>
      <c r="I230">
        <f t="shared" si="21"/>
        <v>1264740</v>
      </c>
      <c r="J230">
        <f t="shared" si="22"/>
        <v>414006</v>
      </c>
      <c r="K230">
        <f t="shared" si="23"/>
        <v>540328</v>
      </c>
      <c r="L230">
        <v>683701</v>
      </c>
      <c r="M230">
        <v>747515</v>
      </c>
      <c r="N230">
        <f t="shared" si="24"/>
        <v>2155260</v>
      </c>
      <c r="O230" t="str">
        <f t="shared" si="25"/>
        <v>2018Q1</v>
      </c>
      <c r="P230">
        <f t="shared" si="26"/>
        <v>1</v>
      </c>
      <c r="Q230">
        <v>2219075</v>
      </c>
      <c r="R230">
        <v>458</v>
      </c>
      <c r="S230">
        <f t="shared" si="27"/>
        <v>63815</v>
      </c>
    </row>
    <row r="231" spans="1:19" x14ac:dyDescent="0.35">
      <c r="A231" s="1">
        <v>43191</v>
      </c>
      <c r="B231">
        <v>1239269</v>
      </c>
      <c r="C231">
        <v>32880</v>
      </c>
      <c r="D231">
        <v>414708</v>
      </c>
      <c r="E231">
        <v>2357</v>
      </c>
      <c r="F231">
        <v>23786</v>
      </c>
      <c r="G231">
        <v>456686</v>
      </c>
      <c r="H231">
        <v>85853</v>
      </c>
      <c r="I231">
        <f t="shared" si="21"/>
        <v>1272149</v>
      </c>
      <c r="J231">
        <f t="shared" si="22"/>
        <v>417065</v>
      </c>
      <c r="K231">
        <f t="shared" si="23"/>
        <v>542539</v>
      </c>
      <c r="L231">
        <v>704789</v>
      </c>
      <c r="M231">
        <v>760345</v>
      </c>
      <c r="N231">
        <f t="shared" si="24"/>
        <v>2176197</v>
      </c>
      <c r="O231" t="str">
        <f t="shared" si="25"/>
        <v>2018Q2</v>
      </c>
      <c r="P231">
        <f t="shared" si="26"/>
        <v>2</v>
      </c>
      <c r="Q231">
        <v>2231747</v>
      </c>
      <c r="R231">
        <v>-431</v>
      </c>
      <c r="S231">
        <f t="shared" si="27"/>
        <v>55550</v>
      </c>
    </row>
    <row r="232" spans="1:19" x14ac:dyDescent="0.35">
      <c r="A232" s="1">
        <v>43282</v>
      </c>
      <c r="B232">
        <v>1246431</v>
      </c>
      <c r="C232">
        <v>32728</v>
      </c>
      <c r="D232">
        <v>407706</v>
      </c>
      <c r="E232">
        <v>2296</v>
      </c>
      <c r="F232">
        <v>17087</v>
      </c>
      <c r="G232">
        <v>458262</v>
      </c>
      <c r="H232">
        <v>85343</v>
      </c>
      <c r="I232">
        <f t="shared" si="21"/>
        <v>1279159</v>
      </c>
      <c r="J232">
        <f t="shared" si="22"/>
        <v>410002</v>
      </c>
      <c r="K232">
        <f t="shared" si="23"/>
        <v>543605</v>
      </c>
      <c r="L232">
        <v>701558</v>
      </c>
      <c r="M232">
        <v>741437</v>
      </c>
      <c r="N232">
        <f t="shared" si="24"/>
        <v>2192887</v>
      </c>
      <c r="O232" t="str">
        <f t="shared" si="25"/>
        <v>2018Q3</v>
      </c>
      <c r="P232">
        <f t="shared" si="26"/>
        <v>3</v>
      </c>
      <c r="Q232">
        <v>2232723</v>
      </c>
      <c r="R232">
        <v>156</v>
      </c>
      <c r="S232">
        <f t="shared" si="27"/>
        <v>39836</v>
      </c>
    </row>
    <row r="233" spans="1:19" x14ac:dyDescent="0.35">
      <c r="A233" s="1">
        <v>43374</v>
      </c>
      <c r="B233">
        <v>1246298</v>
      </c>
      <c r="C233">
        <v>33040</v>
      </c>
      <c r="D233">
        <v>405001</v>
      </c>
      <c r="E233">
        <v>2212</v>
      </c>
      <c r="F233">
        <v>18580</v>
      </c>
      <c r="G233">
        <v>461436</v>
      </c>
      <c r="H233">
        <v>81633</v>
      </c>
      <c r="I233">
        <f t="shared" si="21"/>
        <v>1279338</v>
      </c>
      <c r="J233">
        <f t="shared" si="22"/>
        <v>407213</v>
      </c>
      <c r="K233">
        <f t="shared" si="23"/>
        <v>543069</v>
      </c>
      <c r="L233">
        <v>699519</v>
      </c>
      <c r="M233">
        <v>732492</v>
      </c>
      <c r="N233">
        <f t="shared" si="24"/>
        <v>2196647</v>
      </c>
      <c r="O233" t="str">
        <f t="shared" si="25"/>
        <v>2018Q4</v>
      </c>
      <c r="P233">
        <f t="shared" si="26"/>
        <v>4</v>
      </c>
      <c r="Q233">
        <v>2229504</v>
      </c>
      <c r="R233">
        <v>131</v>
      </c>
      <c r="S233">
        <f t="shared" si="27"/>
        <v>32857</v>
      </c>
    </row>
    <row r="234" spans="1:19" x14ac:dyDescent="0.35">
      <c r="A234" s="1">
        <v>43466</v>
      </c>
      <c r="B234">
        <v>1253025</v>
      </c>
      <c r="C234">
        <v>33232</v>
      </c>
      <c r="D234">
        <v>414108</v>
      </c>
      <c r="E234">
        <v>2047</v>
      </c>
      <c r="F234">
        <v>29199</v>
      </c>
      <c r="G234">
        <v>459393</v>
      </c>
      <c r="H234">
        <v>81609</v>
      </c>
      <c r="I234">
        <f t="shared" si="21"/>
        <v>1286257</v>
      </c>
      <c r="J234">
        <f t="shared" si="22"/>
        <v>416155</v>
      </c>
      <c r="K234">
        <f t="shared" si="23"/>
        <v>541002</v>
      </c>
      <c r="L234">
        <v>699150</v>
      </c>
      <c r="M234">
        <v>752000</v>
      </c>
      <c r="N234">
        <f t="shared" si="24"/>
        <v>2190564</v>
      </c>
      <c r="O234" t="str">
        <f t="shared" si="25"/>
        <v>2019Q1</v>
      </c>
      <c r="P234">
        <f t="shared" si="26"/>
        <v>1</v>
      </c>
      <c r="Q234">
        <v>2243343</v>
      </c>
      <c r="R234">
        <v>1768</v>
      </c>
      <c r="S234">
        <f t="shared" si="27"/>
        <v>52779</v>
      </c>
    </row>
    <row r="235" spans="1:19" x14ac:dyDescent="0.35">
      <c r="A235" s="1">
        <v>43556</v>
      </c>
      <c r="B235">
        <v>1256041</v>
      </c>
      <c r="C235">
        <v>33356</v>
      </c>
      <c r="D235">
        <v>412963</v>
      </c>
      <c r="E235">
        <v>2070</v>
      </c>
      <c r="F235">
        <v>19587</v>
      </c>
      <c r="G235">
        <v>459071</v>
      </c>
      <c r="H235">
        <v>81565</v>
      </c>
      <c r="I235">
        <f t="shared" si="21"/>
        <v>1289397</v>
      </c>
      <c r="J235">
        <f t="shared" si="22"/>
        <v>415033</v>
      </c>
      <c r="K235">
        <f t="shared" si="23"/>
        <v>540636</v>
      </c>
      <c r="L235">
        <v>727235</v>
      </c>
      <c r="M235">
        <v>748263</v>
      </c>
      <c r="N235">
        <f t="shared" si="24"/>
        <v>2224038</v>
      </c>
      <c r="O235" t="str">
        <f t="shared" si="25"/>
        <v>2019Q2</v>
      </c>
      <c r="P235">
        <f t="shared" si="26"/>
        <v>2</v>
      </c>
      <c r="Q235">
        <v>2244985</v>
      </c>
      <c r="R235">
        <v>1420</v>
      </c>
      <c r="S235">
        <f t="shared" si="27"/>
        <v>20947</v>
      </c>
    </row>
    <row r="236" spans="1:19" x14ac:dyDescent="0.35">
      <c r="A236" s="1">
        <v>43647</v>
      </c>
      <c r="B236">
        <v>1261611</v>
      </c>
      <c r="C236">
        <v>33948</v>
      </c>
      <c r="D236">
        <v>421284</v>
      </c>
      <c r="E236">
        <v>2081</v>
      </c>
      <c r="F236">
        <v>9360</v>
      </c>
      <c r="G236">
        <v>462808</v>
      </c>
      <c r="H236">
        <v>83849</v>
      </c>
      <c r="I236">
        <f t="shared" si="21"/>
        <v>1295559</v>
      </c>
      <c r="J236">
        <f t="shared" si="22"/>
        <v>423365</v>
      </c>
      <c r="K236">
        <f t="shared" si="23"/>
        <v>546657</v>
      </c>
      <c r="L236">
        <v>720979</v>
      </c>
      <c r="M236">
        <v>743779</v>
      </c>
      <c r="N236">
        <f t="shared" si="24"/>
        <v>2242781</v>
      </c>
      <c r="O236" t="str">
        <f t="shared" si="25"/>
        <v>2019Q3</v>
      </c>
      <c r="P236">
        <f t="shared" si="26"/>
        <v>3</v>
      </c>
      <c r="Q236">
        <v>2265563</v>
      </c>
      <c r="R236">
        <v>-1259</v>
      </c>
      <c r="S236">
        <f t="shared" si="27"/>
        <v>22782</v>
      </c>
    </row>
    <row r="237" spans="1:19" x14ac:dyDescent="0.35">
      <c r="A237" s="1">
        <v>43739</v>
      </c>
      <c r="B237">
        <v>1270170</v>
      </c>
      <c r="C237">
        <v>34676</v>
      </c>
      <c r="D237">
        <v>417532</v>
      </c>
      <c r="E237">
        <v>2105</v>
      </c>
      <c r="F237">
        <v>12226</v>
      </c>
      <c r="G237">
        <v>466957</v>
      </c>
      <c r="H237">
        <v>83656</v>
      </c>
      <c r="I237">
        <f t="shared" si="21"/>
        <v>1304846</v>
      </c>
      <c r="J237">
        <f t="shared" si="22"/>
        <v>419637</v>
      </c>
      <c r="K237">
        <f t="shared" si="23"/>
        <v>550613</v>
      </c>
      <c r="L237">
        <v>705988</v>
      </c>
      <c r="M237">
        <v>734522</v>
      </c>
      <c r="N237">
        <f t="shared" si="24"/>
        <v>2246562</v>
      </c>
      <c r="O237" t="str">
        <f t="shared" si="25"/>
        <v>2019Q4</v>
      </c>
      <c r="P237">
        <f t="shared" si="26"/>
        <v>4</v>
      </c>
      <c r="Q237">
        <v>2275030</v>
      </c>
      <c r="R237">
        <v>-1393</v>
      </c>
      <c r="S237">
        <f t="shared" si="27"/>
        <v>28468</v>
      </c>
    </row>
    <row r="238" spans="1:19" x14ac:dyDescent="0.35">
      <c r="A238" s="1">
        <v>43831</v>
      </c>
      <c r="B238">
        <v>1242827</v>
      </c>
      <c r="C238">
        <v>34952</v>
      </c>
      <c r="D238">
        <v>409154</v>
      </c>
      <c r="E238">
        <v>2173</v>
      </c>
      <c r="F238">
        <v>16961</v>
      </c>
      <c r="G238">
        <v>466398</v>
      </c>
      <c r="H238">
        <v>83930</v>
      </c>
      <c r="I238">
        <f t="shared" si="21"/>
        <v>1277779</v>
      </c>
      <c r="J238">
        <f t="shared" si="22"/>
        <v>411327</v>
      </c>
      <c r="K238">
        <f t="shared" si="23"/>
        <v>550328</v>
      </c>
      <c r="L238">
        <v>693669</v>
      </c>
      <c r="M238">
        <v>735369</v>
      </c>
      <c r="N238">
        <f t="shared" si="24"/>
        <v>2197734</v>
      </c>
      <c r="O238" t="str">
        <f t="shared" si="25"/>
        <v>2020Q1</v>
      </c>
      <c r="P238">
        <f t="shared" si="26"/>
        <v>1</v>
      </c>
      <c r="Q238">
        <v>2239452</v>
      </c>
      <c r="R238">
        <v>506</v>
      </c>
      <c r="S238">
        <f t="shared" si="27"/>
        <v>41718</v>
      </c>
    </row>
    <row r="239" spans="1:19" x14ac:dyDescent="0.35">
      <c r="A239" s="1">
        <v>43922</v>
      </c>
      <c r="B239">
        <v>1064743</v>
      </c>
      <c r="C239">
        <v>32344</v>
      </c>
      <c r="D239">
        <v>345757</v>
      </c>
      <c r="E239">
        <v>2119</v>
      </c>
      <c r="F239">
        <v>-24556</v>
      </c>
      <c r="G239">
        <v>449603</v>
      </c>
      <c r="H239">
        <v>82947</v>
      </c>
      <c r="I239">
        <f t="shared" si="21"/>
        <v>1097087</v>
      </c>
      <c r="J239">
        <f t="shared" si="22"/>
        <v>347876</v>
      </c>
      <c r="K239">
        <f t="shared" si="23"/>
        <v>532550</v>
      </c>
      <c r="L239">
        <v>580283</v>
      </c>
      <c r="M239">
        <v>566685</v>
      </c>
      <c r="N239">
        <f t="shared" si="24"/>
        <v>1991111</v>
      </c>
      <c r="O239" t="str">
        <f t="shared" si="25"/>
        <v>2020Q2</v>
      </c>
      <c r="P239">
        <f t="shared" si="26"/>
        <v>2</v>
      </c>
      <c r="Q239">
        <v>1978880</v>
      </c>
      <c r="R239">
        <v>-820</v>
      </c>
      <c r="S239">
        <f t="shared" si="27"/>
        <v>-12231</v>
      </c>
    </row>
    <row r="240" spans="1:19" x14ac:dyDescent="0.35">
      <c r="A240" s="1">
        <v>44013</v>
      </c>
      <c r="B240">
        <v>1201575</v>
      </c>
      <c r="C240">
        <v>33684</v>
      </c>
      <c r="D240">
        <v>407154</v>
      </c>
      <c r="E240">
        <v>2292</v>
      </c>
      <c r="F240">
        <v>-29778</v>
      </c>
      <c r="G240">
        <v>474621</v>
      </c>
      <c r="H240">
        <v>85609</v>
      </c>
      <c r="I240">
        <f t="shared" si="21"/>
        <v>1235259</v>
      </c>
      <c r="J240">
        <f t="shared" si="22"/>
        <v>409446</v>
      </c>
      <c r="K240">
        <f t="shared" si="23"/>
        <v>560230</v>
      </c>
      <c r="L240">
        <v>657665</v>
      </c>
      <c r="M240">
        <v>688244</v>
      </c>
      <c r="N240">
        <f t="shared" si="24"/>
        <v>2174356</v>
      </c>
      <c r="O240" t="str">
        <f t="shared" si="25"/>
        <v>2020Q3</v>
      </c>
      <c r="P240">
        <f t="shared" si="26"/>
        <v>3</v>
      </c>
      <c r="Q240">
        <v>2205711</v>
      </c>
      <c r="R240">
        <v>340</v>
      </c>
      <c r="S240">
        <f t="shared" si="27"/>
        <v>31355</v>
      </c>
    </row>
    <row r="241" spans="1:19" x14ac:dyDescent="0.35">
      <c r="A241" s="1">
        <v>44105</v>
      </c>
      <c r="B241">
        <v>1207196</v>
      </c>
      <c r="C241">
        <v>34748</v>
      </c>
      <c r="D241">
        <v>420120</v>
      </c>
      <c r="E241">
        <v>2375</v>
      </c>
      <c r="F241">
        <v>-3438</v>
      </c>
      <c r="G241">
        <v>481009</v>
      </c>
      <c r="H241">
        <v>85591</v>
      </c>
      <c r="I241">
        <f t="shared" si="21"/>
        <v>1241944</v>
      </c>
      <c r="J241">
        <f t="shared" si="22"/>
        <v>422495</v>
      </c>
      <c r="K241">
        <f t="shared" si="23"/>
        <v>566600</v>
      </c>
      <c r="L241">
        <v>665479</v>
      </c>
      <c r="M241">
        <v>707770</v>
      </c>
      <c r="N241">
        <f t="shared" si="24"/>
        <v>2188748</v>
      </c>
      <c r="O241" t="str">
        <f t="shared" si="25"/>
        <v>2020Q4</v>
      </c>
      <c r="P241">
        <f t="shared" si="26"/>
        <v>4</v>
      </c>
      <c r="Q241">
        <v>2232162</v>
      </c>
      <c r="R241">
        <v>788</v>
      </c>
      <c r="S241">
        <f t="shared" si="27"/>
        <v>43414</v>
      </c>
    </row>
    <row r="242" spans="1:19" x14ac:dyDescent="0.35">
      <c r="A242" s="1">
        <v>44197</v>
      </c>
      <c r="B242">
        <v>1213271</v>
      </c>
      <c r="C242">
        <v>33736</v>
      </c>
      <c r="D242">
        <v>436945</v>
      </c>
      <c r="E242">
        <v>2416</v>
      </c>
      <c r="F242">
        <v>2220</v>
      </c>
      <c r="G242">
        <v>487975</v>
      </c>
      <c r="H242">
        <v>86049</v>
      </c>
      <c r="I242">
        <f t="shared" si="21"/>
        <v>1247007</v>
      </c>
      <c r="J242">
        <f t="shared" si="22"/>
        <v>439361</v>
      </c>
      <c r="K242">
        <f t="shared" si="23"/>
        <v>574024</v>
      </c>
      <c r="L242">
        <v>683414</v>
      </c>
      <c r="M242">
        <v>727187</v>
      </c>
      <c r="N242">
        <f t="shared" si="24"/>
        <v>2216619</v>
      </c>
      <c r="O242" t="str">
        <f t="shared" si="25"/>
        <v>2021Q1</v>
      </c>
      <c r="P242">
        <f t="shared" si="26"/>
        <v>1</v>
      </c>
      <c r="Q242">
        <v>2262078</v>
      </c>
      <c r="R242">
        <v>754</v>
      </c>
      <c r="S242">
        <f t="shared" si="27"/>
        <v>45459</v>
      </c>
    </row>
    <row r="243" spans="1:19" x14ac:dyDescent="0.35">
      <c r="A243" s="1">
        <v>44287</v>
      </c>
      <c r="B243">
        <v>1212792</v>
      </c>
      <c r="C243">
        <v>33536</v>
      </c>
      <c r="D243">
        <v>446250</v>
      </c>
      <c r="E243">
        <v>2478</v>
      </c>
      <c r="F243">
        <v>7187</v>
      </c>
      <c r="G243">
        <v>493539</v>
      </c>
      <c r="H243">
        <v>84646</v>
      </c>
      <c r="I243">
        <f t="shared" si="21"/>
        <v>1246328</v>
      </c>
      <c r="J243">
        <f t="shared" si="22"/>
        <v>448728</v>
      </c>
      <c r="K243">
        <f t="shared" si="23"/>
        <v>578185</v>
      </c>
      <c r="L243">
        <v>660311</v>
      </c>
      <c r="M243">
        <v>724786</v>
      </c>
      <c r="N243">
        <f t="shared" si="24"/>
        <v>2208766</v>
      </c>
      <c r="O243" t="str">
        <f t="shared" si="25"/>
        <v>2021Q2</v>
      </c>
      <c r="P243">
        <f t="shared" si="26"/>
        <v>2</v>
      </c>
      <c r="Q243">
        <v>2275426</v>
      </c>
      <c r="R243">
        <v>1079</v>
      </c>
      <c r="S243">
        <f t="shared" si="27"/>
        <v>66660</v>
      </c>
    </row>
    <row r="244" spans="1:19" x14ac:dyDescent="0.35">
      <c r="A244" s="1">
        <v>44378</v>
      </c>
      <c r="B244">
        <v>1278209</v>
      </c>
      <c r="C244">
        <v>33992</v>
      </c>
      <c r="D244">
        <v>428444</v>
      </c>
      <c r="E244">
        <v>2395</v>
      </c>
      <c r="F244">
        <v>1472</v>
      </c>
      <c r="G244">
        <v>495854</v>
      </c>
      <c r="H244">
        <v>84841</v>
      </c>
      <c r="I244">
        <f t="shared" si="21"/>
        <v>1312201</v>
      </c>
      <c r="J244">
        <f t="shared" si="22"/>
        <v>430839</v>
      </c>
      <c r="K244">
        <f t="shared" si="23"/>
        <v>580695</v>
      </c>
      <c r="L244">
        <v>659260</v>
      </c>
      <c r="M244">
        <v>717468</v>
      </c>
      <c r="N244">
        <f t="shared" si="24"/>
        <v>2265527</v>
      </c>
      <c r="O244" t="str">
        <f t="shared" si="25"/>
        <v>2021Q3</v>
      </c>
      <c r="P244">
        <f t="shared" si="26"/>
        <v>3</v>
      </c>
      <c r="Q244">
        <v>2323392</v>
      </c>
      <c r="R244">
        <v>124</v>
      </c>
      <c r="S244">
        <f t="shared" si="27"/>
        <v>57865</v>
      </c>
    </row>
    <row r="245" spans="1:19" x14ac:dyDescent="0.35">
      <c r="A245" s="1">
        <v>44470</v>
      </c>
      <c r="B245">
        <v>1290949</v>
      </c>
      <c r="C245">
        <v>34808</v>
      </c>
      <c r="D245">
        <v>435768</v>
      </c>
      <c r="E245">
        <v>2448</v>
      </c>
      <c r="F245">
        <v>29843</v>
      </c>
      <c r="G245">
        <v>499514</v>
      </c>
      <c r="H245">
        <v>85495</v>
      </c>
      <c r="I245">
        <f t="shared" si="21"/>
        <v>1325757</v>
      </c>
      <c r="J245">
        <f t="shared" si="22"/>
        <v>438216</v>
      </c>
      <c r="K245">
        <f t="shared" si="23"/>
        <v>585009</v>
      </c>
      <c r="L245">
        <v>680108</v>
      </c>
      <c r="M245">
        <v>754130</v>
      </c>
      <c r="N245">
        <f t="shared" si="24"/>
        <v>2274960</v>
      </c>
      <c r="O245" t="str">
        <f t="shared" si="25"/>
        <v>2021Q4</v>
      </c>
      <c r="P245">
        <f t="shared" si="26"/>
        <v>4</v>
      </c>
      <c r="Q245">
        <v>2348869</v>
      </c>
      <c r="R245">
        <v>-562</v>
      </c>
      <c r="S245">
        <f t="shared" si="27"/>
        <v>73909</v>
      </c>
    </row>
    <row r="246" spans="1:19" x14ac:dyDescent="0.35">
      <c r="A246" s="1">
        <v>44562</v>
      </c>
      <c r="B246">
        <v>1297167</v>
      </c>
      <c r="C246">
        <v>35344</v>
      </c>
      <c r="D246">
        <v>445710</v>
      </c>
      <c r="E246">
        <v>2666</v>
      </c>
      <c r="F246">
        <v>31178</v>
      </c>
      <c r="G246">
        <v>505026</v>
      </c>
      <c r="H246">
        <v>86083</v>
      </c>
      <c r="I246">
        <f t="shared" si="21"/>
        <v>1332511</v>
      </c>
      <c r="J246">
        <f t="shared" si="22"/>
        <v>448376</v>
      </c>
      <c r="K246">
        <f t="shared" si="23"/>
        <v>591109</v>
      </c>
      <c r="L246">
        <v>676180</v>
      </c>
      <c r="M246">
        <v>755620</v>
      </c>
      <c r="N246">
        <f t="shared" si="24"/>
        <v>2292556</v>
      </c>
      <c r="O246" t="str">
        <f t="shared" si="25"/>
        <v>2022Q1</v>
      </c>
      <c r="P246">
        <f t="shared" si="26"/>
        <v>1</v>
      </c>
      <c r="Q246">
        <v>2372558</v>
      </c>
      <c r="R246">
        <v>315</v>
      </c>
      <c r="S246">
        <f t="shared" si="27"/>
        <v>80002</v>
      </c>
    </row>
    <row r="247" spans="1:19" x14ac:dyDescent="0.35">
      <c r="A247" s="1">
        <v>44652</v>
      </c>
      <c r="B247">
        <v>1323013</v>
      </c>
      <c r="C247">
        <v>36004</v>
      </c>
      <c r="D247">
        <v>432502</v>
      </c>
      <c r="E247">
        <v>2816</v>
      </c>
      <c r="F247">
        <v>59075</v>
      </c>
      <c r="G247">
        <v>505624</v>
      </c>
      <c r="H247">
        <v>85064</v>
      </c>
      <c r="I247">
        <f t="shared" si="21"/>
        <v>1359017</v>
      </c>
      <c r="J247">
        <f t="shared" si="22"/>
        <v>435318</v>
      </c>
      <c r="K247">
        <f t="shared" si="23"/>
        <v>590688</v>
      </c>
      <c r="L247">
        <v>702053</v>
      </c>
      <c r="M247">
        <v>802756</v>
      </c>
      <c r="N247">
        <f t="shared" si="24"/>
        <v>2284320</v>
      </c>
      <c r="O247" t="str">
        <f t="shared" si="25"/>
        <v>2022Q2</v>
      </c>
      <c r="P247">
        <f t="shared" si="26"/>
        <v>2</v>
      </c>
      <c r="Q247">
        <v>2383551</v>
      </c>
      <c r="R247">
        <v>1082</v>
      </c>
      <c r="S247">
        <f t="shared" si="27"/>
        <v>99231</v>
      </c>
    </row>
    <row r="248" spans="1:19" x14ac:dyDescent="0.35">
      <c r="A248" s="1">
        <v>44743</v>
      </c>
      <c r="B248">
        <v>1323525</v>
      </c>
      <c r="C248">
        <v>36248</v>
      </c>
      <c r="D248">
        <v>425157</v>
      </c>
      <c r="E248">
        <v>2824</v>
      </c>
      <c r="F248">
        <v>70210</v>
      </c>
      <c r="G248">
        <v>511825</v>
      </c>
      <c r="H248">
        <v>83585</v>
      </c>
      <c r="I248">
        <f t="shared" si="21"/>
        <v>1359773</v>
      </c>
      <c r="J248">
        <f t="shared" si="22"/>
        <v>427981</v>
      </c>
      <c r="K248">
        <f t="shared" si="23"/>
        <v>595410</v>
      </c>
      <c r="L248">
        <v>707885</v>
      </c>
      <c r="M248">
        <v>804061</v>
      </c>
      <c r="N248">
        <f t="shared" si="24"/>
        <v>2286988</v>
      </c>
      <c r="O248" t="str">
        <f t="shared" si="25"/>
        <v>2022Q3</v>
      </c>
      <c r="P248">
        <f t="shared" si="26"/>
        <v>3</v>
      </c>
      <c r="Q248">
        <v>2380775</v>
      </c>
      <c r="R248">
        <v>790</v>
      </c>
      <c r="S248">
        <f t="shared" si="27"/>
        <v>93787</v>
      </c>
    </row>
    <row r="249" spans="1:19" x14ac:dyDescent="0.35">
      <c r="A249" s="1">
        <v>44835</v>
      </c>
      <c r="B249">
        <v>1324084</v>
      </c>
      <c r="C249">
        <v>36360</v>
      </c>
      <c r="D249">
        <v>418601</v>
      </c>
      <c r="E249">
        <v>2782</v>
      </c>
      <c r="F249">
        <v>44021</v>
      </c>
      <c r="G249">
        <v>516702</v>
      </c>
      <c r="H249">
        <v>84444</v>
      </c>
      <c r="I249">
        <f t="shared" si="21"/>
        <v>1360444</v>
      </c>
      <c r="J249">
        <f t="shared" si="22"/>
        <v>421383</v>
      </c>
      <c r="K249">
        <f t="shared" si="23"/>
        <v>601146</v>
      </c>
      <c r="L249">
        <v>708912</v>
      </c>
      <c r="M249">
        <v>781531</v>
      </c>
      <c r="N249">
        <f t="shared" si="24"/>
        <v>2310354</v>
      </c>
      <c r="O249" t="str">
        <f t="shared" si="25"/>
        <v>2022Q4</v>
      </c>
      <c r="P249">
        <f t="shared" si="26"/>
        <v>4</v>
      </c>
      <c r="Q249">
        <v>2379794</v>
      </c>
      <c r="R249">
        <v>714</v>
      </c>
      <c r="S249">
        <f t="shared" si="27"/>
        <v>69440</v>
      </c>
    </row>
    <row r="250" spans="1:19" x14ac:dyDescent="0.35">
      <c r="A250" s="1">
        <v>44927</v>
      </c>
      <c r="B250">
        <v>1336434</v>
      </c>
      <c r="C250">
        <v>36988</v>
      </c>
      <c r="D250">
        <v>416977</v>
      </c>
      <c r="E250">
        <v>2767</v>
      </c>
      <c r="F250">
        <v>23222</v>
      </c>
      <c r="G250">
        <v>516997</v>
      </c>
      <c r="H250">
        <v>88231</v>
      </c>
      <c r="I250">
        <f t="shared" si="21"/>
        <v>1373422</v>
      </c>
      <c r="J250">
        <f t="shared" si="22"/>
        <v>419744</v>
      </c>
      <c r="K250">
        <f t="shared" si="23"/>
        <v>605228</v>
      </c>
      <c r="L250">
        <v>730770</v>
      </c>
      <c r="M250">
        <v>776498</v>
      </c>
      <c r="N250">
        <f t="shared" si="24"/>
        <v>2352666</v>
      </c>
      <c r="O250" t="str">
        <f t="shared" si="25"/>
        <v>2023Q1</v>
      </c>
      <c r="P250">
        <f t="shared" si="26"/>
        <v>1</v>
      </c>
      <c r="Q250">
        <v>2394804</v>
      </c>
      <c r="R250">
        <v>846</v>
      </c>
      <c r="S250">
        <f t="shared" si="27"/>
        <v>42138</v>
      </c>
    </row>
    <row r="251" spans="1:19" x14ac:dyDescent="0.35">
      <c r="A251" s="1">
        <v>45017</v>
      </c>
      <c r="B251">
        <v>1339046</v>
      </c>
      <c r="C251">
        <v>37388</v>
      </c>
      <c r="D251">
        <v>424280</v>
      </c>
      <c r="E251">
        <v>2726</v>
      </c>
      <c r="F251">
        <v>26466</v>
      </c>
      <c r="G251">
        <v>518388</v>
      </c>
      <c r="H251">
        <v>88033</v>
      </c>
      <c r="I251">
        <f t="shared" si="21"/>
        <v>1376434</v>
      </c>
      <c r="J251">
        <f t="shared" si="22"/>
        <v>427006</v>
      </c>
      <c r="K251">
        <f t="shared" si="23"/>
        <v>606421</v>
      </c>
      <c r="L251">
        <v>733165</v>
      </c>
      <c r="M251">
        <v>789660</v>
      </c>
      <c r="N251">
        <f t="shared" si="24"/>
        <v>2353366</v>
      </c>
      <c r="O251" t="str">
        <f t="shared" si="25"/>
        <v>2023Q2</v>
      </c>
      <c r="P251">
        <f t="shared" si="26"/>
        <v>2</v>
      </c>
      <c r="Q251">
        <v>2406919</v>
      </c>
      <c r="R251">
        <v>89</v>
      </c>
      <c r="S251">
        <f t="shared" si="27"/>
        <v>53553</v>
      </c>
    </row>
    <row r="252" spans="1:19" x14ac:dyDescent="0.35">
      <c r="A252" s="1">
        <v>45108</v>
      </c>
      <c r="B252">
        <v>1341928</v>
      </c>
      <c r="C252">
        <v>37472</v>
      </c>
      <c r="D252">
        <v>420113</v>
      </c>
      <c r="E252">
        <v>2846</v>
      </c>
      <c r="F252">
        <v>27242</v>
      </c>
      <c r="G252">
        <v>525519</v>
      </c>
      <c r="H252">
        <v>88838</v>
      </c>
      <c r="I252">
        <f t="shared" si="21"/>
        <v>1379400</v>
      </c>
      <c r="J252">
        <f t="shared" si="22"/>
        <v>422959</v>
      </c>
      <c r="K252">
        <f t="shared" si="23"/>
        <v>614357</v>
      </c>
      <c r="L252">
        <v>726639</v>
      </c>
      <c r="M252">
        <v>792289</v>
      </c>
      <c r="N252">
        <f t="shared" si="24"/>
        <v>2351066</v>
      </c>
      <c r="O252" t="str">
        <f t="shared" si="25"/>
        <v>2023Q3</v>
      </c>
      <c r="P252">
        <f t="shared" si="26"/>
        <v>3</v>
      </c>
      <c r="Q252">
        <v>2413111</v>
      </c>
      <c r="R252">
        <v>-19</v>
      </c>
      <c r="S252">
        <f t="shared" si="27"/>
        <v>62045</v>
      </c>
    </row>
    <row r="253" spans="1:19" x14ac:dyDescent="0.35">
      <c r="A253" s="1">
        <v>45200</v>
      </c>
      <c r="B253">
        <v>1346226</v>
      </c>
      <c r="C253">
        <v>37676</v>
      </c>
      <c r="D253">
        <v>411940</v>
      </c>
      <c r="E253">
        <v>3007</v>
      </c>
      <c r="F253">
        <v>25059</v>
      </c>
      <c r="G253">
        <v>522858</v>
      </c>
      <c r="H253">
        <v>90262</v>
      </c>
      <c r="I253">
        <f t="shared" si="21"/>
        <v>1383902</v>
      </c>
      <c r="J253">
        <f t="shared" si="22"/>
        <v>414947</v>
      </c>
      <c r="K253">
        <f t="shared" si="23"/>
        <v>613120</v>
      </c>
      <c r="L253">
        <v>742962</v>
      </c>
      <c r="M253">
        <v>796312</v>
      </c>
      <c r="N253">
        <f t="shared" si="24"/>
        <v>2358619</v>
      </c>
      <c r="O253" t="str">
        <f t="shared" si="25"/>
        <v>2023Q4</v>
      </c>
      <c r="P253">
        <f t="shared" si="26"/>
        <v>4</v>
      </c>
      <c r="Q253">
        <v>2407452</v>
      </c>
      <c r="R253">
        <v>-679</v>
      </c>
      <c r="S253">
        <f t="shared" si="27"/>
        <v>48833</v>
      </c>
    </row>
    <row r="254" spans="1:19" x14ac:dyDescent="0.35">
      <c r="A254" s="1">
        <v>45292</v>
      </c>
      <c r="B254">
        <v>1356991</v>
      </c>
      <c r="C254">
        <v>37816</v>
      </c>
      <c r="D254">
        <v>409775</v>
      </c>
      <c r="E254">
        <v>3116</v>
      </c>
      <c r="F254">
        <v>17829</v>
      </c>
      <c r="G254">
        <v>530410</v>
      </c>
      <c r="H254">
        <v>93301</v>
      </c>
      <c r="I254">
        <f t="shared" si="21"/>
        <v>1394807</v>
      </c>
      <c r="J254">
        <f t="shared" si="22"/>
        <v>412891</v>
      </c>
      <c r="K254">
        <f t="shared" si="23"/>
        <v>623711</v>
      </c>
      <c r="L254">
        <v>741624</v>
      </c>
      <c r="M254">
        <v>794159</v>
      </c>
      <c r="N254">
        <f t="shared" si="24"/>
        <v>2378874</v>
      </c>
      <c r="O254" t="str">
        <f t="shared" si="25"/>
        <v>2024Q1</v>
      </c>
      <c r="P254">
        <f t="shared" si="26"/>
        <v>1</v>
      </c>
      <c r="Q254">
        <v>2426294</v>
      </c>
      <c r="R254">
        <v>262</v>
      </c>
      <c r="S254">
        <f t="shared" si="27"/>
        <v>47420</v>
      </c>
    </row>
    <row r="255" spans="1:19" x14ac:dyDescent="0.35">
      <c r="A255" s="1">
        <v>45383</v>
      </c>
      <c r="B255">
        <v>1362599</v>
      </c>
      <c r="C255">
        <v>37960</v>
      </c>
      <c r="D255">
        <v>412401</v>
      </c>
      <c r="E255">
        <v>3147</v>
      </c>
      <c r="F255">
        <v>25277</v>
      </c>
      <c r="G255">
        <v>537645</v>
      </c>
      <c r="H255">
        <v>94857</v>
      </c>
      <c r="I255">
        <f t="shared" si="21"/>
        <v>1400559</v>
      </c>
      <c r="J255">
        <f t="shared" si="22"/>
        <v>415548</v>
      </c>
      <c r="K255">
        <f t="shared" si="23"/>
        <v>632502</v>
      </c>
      <c r="L255">
        <v>732534</v>
      </c>
      <c r="M255">
        <v>794175</v>
      </c>
      <c r="N255">
        <f t="shared" si="24"/>
        <v>2386968</v>
      </c>
      <c r="O255" t="str">
        <f t="shared" si="25"/>
        <v>2024Q2</v>
      </c>
      <c r="P255">
        <f t="shared" si="26"/>
        <v>2</v>
      </c>
      <c r="Q255">
        <v>2443520</v>
      </c>
      <c r="R255">
        <v>1123</v>
      </c>
      <c r="S255">
        <f t="shared" si="27"/>
        <v>56552</v>
      </c>
    </row>
    <row r="256" spans="1:19" x14ac:dyDescent="0.35">
      <c r="A256" s="1">
        <v>45474</v>
      </c>
      <c r="B256">
        <v>1377227</v>
      </c>
      <c r="C256">
        <v>38264</v>
      </c>
      <c r="D256">
        <v>409356</v>
      </c>
      <c r="E256">
        <v>3042</v>
      </c>
      <c r="F256">
        <v>20033</v>
      </c>
      <c r="G256">
        <v>544858</v>
      </c>
      <c r="H256">
        <v>95794</v>
      </c>
      <c r="I256">
        <f t="shared" si="21"/>
        <v>1415491</v>
      </c>
      <c r="J256">
        <f t="shared" si="22"/>
        <v>412398</v>
      </c>
      <c r="K256">
        <f t="shared" si="23"/>
        <v>640652</v>
      </c>
      <c r="L256">
        <v>731408</v>
      </c>
      <c r="M256">
        <v>792198</v>
      </c>
      <c r="N256">
        <f t="shared" si="24"/>
        <v>2407751</v>
      </c>
      <c r="O256" t="str">
        <f t="shared" si="25"/>
        <v>2024Q3</v>
      </c>
      <c r="P256">
        <f t="shared" si="26"/>
        <v>3</v>
      </c>
      <c r="Q256">
        <v>2462587</v>
      </c>
      <c r="R256">
        <v>817</v>
      </c>
      <c r="S256">
        <f t="shared" si="27"/>
        <v>54836</v>
      </c>
    </row>
    <row r="257" spans="1:19" x14ac:dyDescent="0.35">
      <c r="A257" s="1">
        <v>45566</v>
      </c>
      <c r="B257">
        <v>1393874</v>
      </c>
      <c r="C257">
        <v>38468</v>
      </c>
      <c r="D257">
        <v>418674</v>
      </c>
      <c r="E257">
        <v>3035</v>
      </c>
      <c r="F257">
        <v>-6002</v>
      </c>
      <c r="G257">
        <v>548051</v>
      </c>
      <c r="H257">
        <v>97493</v>
      </c>
      <c r="I257">
        <f t="shared" si="21"/>
        <v>1432342</v>
      </c>
      <c r="J257">
        <f t="shared" si="22"/>
        <v>421709</v>
      </c>
      <c r="K257">
        <f t="shared" si="23"/>
        <v>645544</v>
      </c>
      <c r="L257">
        <v>744109</v>
      </c>
      <c r="M257">
        <v>797086</v>
      </c>
      <c r="N257">
        <f t="shared" si="24"/>
        <v>2446618</v>
      </c>
      <c r="O257" t="str">
        <f t="shared" si="25"/>
        <v>2024Q4</v>
      </c>
      <c r="P257">
        <f t="shared" si="26"/>
        <v>4</v>
      </c>
      <c r="Q257">
        <v>2494078</v>
      </c>
      <c r="R257">
        <v>629</v>
      </c>
      <c r="S257">
        <f t="shared" si="27"/>
        <v>47460</v>
      </c>
    </row>
    <row r="258" spans="1:19" x14ac:dyDescent="0.35">
      <c r="A258" s="1">
        <v>45658</v>
      </c>
      <c r="B258">
        <v>1395671</v>
      </c>
      <c r="C258">
        <v>38696</v>
      </c>
      <c r="D258">
        <v>413456</v>
      </c>
      <c r="E258">
        <v>3085</v>
      </c>
      <c r="F258">
        <v>7913</v>
      </c>
      <c r="G258">
        <v>547464</v>
      </c>
      <c r="H258">
        <v>96107</v>
      </c>
      <c r="I258">
        <f t="shared" si="21"/>
        <v>1434367</v>
      </c>
      <c r="J258">
        <f t="shared" si="22"/>
        <v>416541</v>
      </c>
      <c r="K258">
        <f t="shared" si="23"/>
        <v>643571</v>
      </c>
      <c r="L258">
        <v>754705</v>
      </c>
      <c r="M258">
        <v>804141</v>
      </c>
      <c r="N258">
        <f t="shared" si="24"/>
        <v>2445043</v>
      </c>
      <c r="O258" t="str">
        <f t="shared" si="25"/>
        <v>2025Q1</v>
      </c>
      <c r="P258">
        <f t="shared" si="26"/>
        <v>1</v>
      </c>
      <c r="Q258">
        <v>2488291</v>
      </c>
      <c r="R258">
        <v>1451</v>
      </c>
      <c r="S258">
        <f t="shared" si="27"/>
        <v>43248</v>
      </c>
    </row>
    <row r="259" spans="1:19" x14ac:dyDescent="0.35">
      <c r="A259" s="1">
        <v>45748</v>
      </c>
      <c r="B259">
        <v>1411059</v>
      </c>
      <c r="C259">
        <v>38788</v>
      </c>
      <c r="D259">
        <v>410942</v>
      </c>
      <c r="E259">
        <v>3271</v>
      </c>
      <c r="F259">
        <v>26898</v>
      </c>
      <c r="G259">
        <v>554367</v>
      </c>
      <c r="H259">
        <v>98159</v>
      </c>
      <c r="I259">
        <f t="shared" ref="I259" si="28">B259+C259</f>
        <v>1449847</v>
      </c>
      <c r="J259">
        <f t="shared" ref="J259" si="29">D259+E259</f>
        <v>414213</v>
      </c>
      <c r="K259">
        <f t="shared" ref="K259" si="30">G259+H259</f>
        <v>652526</v>
      </c>
      <c r="L259">
        <v>698086</v>
      </c>
      <c r="M259">
        <v>793594</v>
      </c>
      <c r="N259">
        <f t="shared" ref="N259" si="31">SUM(I259:L259)-M259</f>
        <v>2421078</v>
      </c>
      <c r="O259" t="str">
        <f t="shared" ref="O259" si="32">TEXT(A259,"yyyy") &amp; "Q" &amp; P259</f>
        <v>2025Q2</v>
      </c>
      <c r="P259">
        <f t="shared" ref="P259" si="33">ROUNDUP(MONTH(A259)/3,0)</f>
        <v>2</v>
      </c>
      <c r="Q259">
        <v>2509589</v>
      </c>
      <c r="R259">
        <v>718</v>
      </c>
      <c r="S259">
        <f t="shared" ref="S259" si="34">Q259-N259</f>
        <v>88511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component-wise-gdp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Hoogsteen</dc:creator>
  <cp:lastModifiedBy>Sam Hoogsteen</cp:lastModifiedBy>
  <dcterms:created xsi:type="dcterms:W3CDTF">2025-11-03T02:47:53Z</dcterms:created>
  <dcterms:modified xsi:type="dcterms:W3CDTF">2025-11-03T02:49:31Z</dcterms:modified>
</cp:coreProperties>
</file>